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/>
  <xr:revisionPtr revIDLastSave="0" documentId="8_{C7C3A1C7-F7CA-4B8C-840C-83FDF5CD2C86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Monthly Analysis" sheetId="4" r:id="rId1"/>
    <sheet name="Regional Analysis" sheetId="5" r:id="rId2"/>
    <sheet name="Category Analysis" sheetId="6" r:id="rId3"/>
    <sheet name="Profit Analysis" sheetId="7" r:id="rId4"/>
    <sheet name="Dashboard" sheetId="8" r:id="rId5"/>
    <sheet name="Sales_Data" sheetId="1" r:id="rId6"/>
    <sheet name="Data Checks" sheetId="3" r:id="rId7"/>
    <sheet name="Read_Me" sheetId="2" r:id="rId8"/>
  </sheets>
  <definedNames>
    <definedName name="_xlnm._FilterDatabase" localSheetId="5" hidden="1">Sales_Data!$A$1:$Q$501</definedName>
  </definedNames>
  <calcPr calcId="191028"/>
  <pivotCaches>
    <pivotCache cacheId="16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8" l="1"/>
  <c r="B11" i="8"/>
  <c r="B9" i="8"/>
  <c r="B7" i="8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B20" i="3"/>
  <c r="B18" i="3"/>
  <c r="B16" i="3"/>
  <c r="B14" i="3"/>
  <c r="B11" i="3"/>
  <c r="B9" i="3"/>
  <c r="B7" i="3"/>
  <c r="B5" i="3"/>
  <c r="B3" i="3"/>
  <c r="B1" i="3"/>
  <c r="B22" i="3" l="1"/>
</calcChain>
</file>

<file path=xl/sharedStrings.xml><?xml version="1.0" encoding="utf-8"?>
<sst xmlns="http://schemas.openxmlformats.org/spreadsheetml/2006/main" count="4108" uniqueCount="630">
  <si>
    <t>Month_Start</t>
  </si>
  <si>
    <t>Sum of Revenue</t>
  </si>
  <si>
    <t>Grand Total</t>
  </si>
  <si>
    <t>Region</t>
  </si>
  <si>
    <t>Central</t>
  </si>
  <si>
    <t>South</t>
  </si>
  <si>
    <t>East</t>
  </si>
  <si>
    <t>West</t>
  </si>
  <si>
    <t>North</t>
  </si>
  <si>
    <t>Category</t>
  </si>
  <si>
    <t>Furniture</t>
  </si>
  <si>
    <t>Technology</t>
  </si>
  <si>
    <t>Office Supplies</t>
  </si>
  <si>
    <t>Sum of Profit</t>
  </si>
  <si>
    <t>SALES PERFORMANCE DASHBOARD</t>
  </si>
  <si>
    <t>Sales Overview | 2025 | Excel Data Analytics Project</t>
  </si>
  <si>
    <t>TOTAL REVENUE</t>
  </si>
  <si>
    <t>TOTAL PROFIT</t>
  </si>
  <si>
    <t xml:space="preserve">TOTAL ORDERS </t>
  </si>
  <si>
    <t>PROFIT MARGIN</t>
  </si>
  <si>
    <t>BUSINESS INSIGHTS &amp; RECOMMENDATIONS</t>
  </si>
  <si>
    <t>1. Overall Performance</t>
  </si>
  <si>
    <t>The business generated ₹137,160.06 in total revenue and ₹39,150.01 in total profit across 500 orders, achieving an overall profit margin of 28.54%.</t>
  </si>
  <si>
    <t>2. Regional Performance</t>
  </si>
  <si>
    <t>The Central region generated the highest revenue at ₹31,586.07, while the North region generated the lowest at ₹25,165.46. The business could investigate differences in customer demand, product mix, and sales strategies across regions.</t>
  </si>
  <si>
    <t>3. Product Category Performance</t>
  </si>
  <si>
    <t>Furniture contributed the highest revenue (₹94,507.28) and profit (₹27,258.43). Technology ranked second in revenue, while Office Supplies contributed the least revenue and profit.</t>
  </si>
  <si>
    <t>4. Monthly Sales Trends</t>
  </si>
  <si>
    <t>Monthly revenue varied throughout 2025. The business could investigate the reasons for stronger and weaker months to improve sales planning and inventory management.</t>
  </si>
  <si>
    <t>Recommendations</t>
  </si>
  <si>
    <t>Investigate successful sales practices in the Central region and evaluate whether they can be applied elsewhere.</t>
  </si>
  <si>
    <t>Review product-level profit margins before deciding which categories to prioritize.</t>
  </si>
  <si>
    <t>Examine monthly sales patterns to support inventory and sales planning.</t>
  </si>
  <si>
    <t>Monitor revenue, profit, and profit margin together when evaluating business performance.</t>
  </si>
  <si>
    <t>Order_ID</t>
  </si>
  <si>
    <t>Order_Date</t>
  </si>
  <si>
    <t>Month</t>
  </si>
  <si>
    <t>City</t>
  </si>
  <si>
    <t>Sales_Rep</t>
  </si>
  <si>
    <t>Customer_Segment</t>
  </si>
  <si>
    <t>Product</t>
  </si>
  <si>
    <t>Quantity</t>
  </si>
  <si>
    <t>Unit_Price</t>
  </si>
  <si>
    <t>Discount_Rate</t>
  </si>
  <si>
    <t>Revenue</t>
  </si>
  <si>
    <t>Cost</t>
  </si>
  <si>
    <t>Profit</t>
  </si>
  <si>
    <t>Payment_Method</t>
  </si>
  <si>
    <t>ORD-0001</t>
  </si>
  <si>
    <t>Bhopal</t>
  </si>
  <si>
    <t>Karan Patel</t>
  </si>
  <si>
    <t>Consumer</t>
  </si>
  <si>
    <t>Wireless Mouse</t>
  </si>
  <si>
    <t>Credit Card</t>
  </si>
  <si>
    <t>ORD-0002</t>
  </si>
  <si>
    <t>Indore</t>
  </si>
  <si>
    <t>Ananya Rao</t>
  </si>
  <si>
    <t>Corporate</t>
  </si>
  <si>
    <t>Keyboard</t>
  </si>
  <si>
    <t>Net Banking</t>
  </si>
  <si>
    <t>ORD-0003</t>
  </si>
  <si>
    <t>Mumbai</t>
  </si>
  <si>
    <t>Meera Iyer</t>
  </si>
  <si>
    <t>Headphones</t>
  </si>
  <si>
    <t>ORD-0004</t>
  </si>
  <si>
    <t>Guwahati</t>
  </si>
  <si>
    <t>Small Business</t>
  </si>
  <si>
    <t>Filing Cabinet</t>
  </si>
  <si>
    <t>UPI</t>
  </si>
  <si>
    <t>ORD-0005</t>
  </si>
  <si>
    <t>Chandigarh</t>
  </si>
  <si>
    <t>Vikram Singh</t>
  </si>
  <si>
    <t>ORD-0006</t>
  </si>
  <si>
    <t>Hyderabad</t>
  </si>
  <si>
    <t>Pens Set</t>
  </si>
  <si>
    <t>Debit Card</t>
  </si>
  <si>
    <t>ORD-0007</t>
  </si>
  <si>
    <t>Stapler</t>
  </si>
  <si>
    <t>ORD-0008</t>
  </si>
  <si>
    <t>Bengaluru</t>
  </si>
  <si>
    <t>Bookshelf</t>
  </si>
  <si>
    <t>ORD-0009</t>
  </si>
  <si>
    <t>Delhi</t>
  </si>
  <si>
    <t>Rohan Mehta</t>
  </si>
  <si>
    <t>ORD-0010</t>
  </si>
  <si>
    <t>Priya Nair</t>
  </si>
  <si>
    <t>ORD-0011</t>
  </si>
  <si>
    <t>Notebook Pack</t>
  </si>
  <si>
    <t>ORD-0012</t>
  </si>
  <si>
    <t>ORD-0013</t>
  </si>
  <si>
    <t>Jaipur</t>
  </si>
  <si>
    <t>Neha Das</t>
  </si>
  <si>
    <t>ORD-0014</t>
  </si>
  <si>
    <t>ORD-0015</t>
  </si>
  <si>
    <t>Aarav Sharma</t>
  </si>
  <si>
    <t>ORD-0016</t>
  </si>
  <si>
    <t>ORD-0017</t>
  </si>
  <si>
    <t>Chennai</t>
  </si>
  <si>
    <t>ORD-0018</t>
  </si>
  <si>
    <t>ORD-0019</t>
  </si>
  <si>
    <t>ORD-0020</t>
  </si>
  <si>
    <t>Pune</t>
  </si>
  <si>
    <t>Desk Lamp</t>
  </si>
  <si>
    <t>ORD-0021</t>
  </si>
  <si>
    <t>Nagpur</t>
  </si>
  <si>
    <t>ORD-0022</t>
  </si>
  <si>
    <t>ORD-0023</t>
  </si>
  <si>
    <t>USB-C Hub</t>
  </si>
  <si>
    <t>ORD-0024</t>
  </si>
  <si>
    <t>Kolkata</t>
  </si>
  <si>
    <t>ORD-0025</t>
  </si>
  <si>
    <t>ORD-0026</t>
  </si>
  <si>
    <t>Printer Paper</t>
  </si>
  <si>
    <t>ORD-0027</t>
  </si>
  <si>
    <t>ORD-0028</t>
  </si>
  <si>
    <t>Monitor</t>
  </si>
  <si>
    <t>ORD-0029</t>
  </si>
  <si>
    <t>Ahmedabad</t>
  </si>
  <si>
    <t>ORD-0030</t>
  </si>
  <si>
    <t>ORD-0031</t>
  </si>
  <si>
    <t>ORD-0032</t>
  </si>
  <si>
    <t>ORD-0033</t>
  </si>
  <si>
    <t>ORD-0034</t>
  </si>
  <si>
    <t>ORD-0035</t>
  </si>
  <si>
    <t>ORD-0036</t>
  </si>
  <si>
    <t>Desk</t>
  </si>
  <si>
    <t>ORD-0037</t>
  </si>
  <si>
    <t>ORD-0038</t>
  </si>
  <si>
    <t>ORD-0039</t>
  </si>
  <si>
    <t>ORD-0040</t>
  </si>
  <si>
    <t>Office Chair</t>
  </si>
  <si>
    <t>ORD-0041</t>
  </si>
  <si>
    <t>ORD-0042</t>
  </si>
  <si>
    <t>ORD-0043</t>
  </si>
  <si>
    <t>ORD-0044</t>
  </si>
  <si>
    <t>ORD-0045</t>
  </si>
  <si>
    <t>ORD-0046</t>
  </si>
  <si>
    <t>ORD-0047</t>
  </si>
  <si>
    <t>Desk Organizer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</si>
  <si>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</si>
  <si>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</si>
  <si>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</si>
  <si>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</si>
  <si>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</si>
  <si>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</si>
  <si>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</si>
  <si>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</si>
  <si>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</si>
  <si>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</si>
  <si>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Bhubaneswar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</si>
  <si>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</si>
  <si>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</si>
  <si>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</si>
  <si>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</si>
  <si>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</si>
  <si>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</si>
  <si>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</si>
  <si>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</si>
  <si>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</si>
  <si>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</si>
  <si>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</si>
  <si>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</si>
  <si>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</si>
  <si>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</si>
  <si>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</si>
  <si>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</si>
  <si>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</si>
  <si>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</si>
  <si>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</si>
  <si>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</si>
  <si>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</si>
  <si>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</si>
  <si>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</si>
  <si>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</si>
  <si>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</si>
  <si>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</si>
  <si>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</si>
  <si>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</si>
  <si>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</si>
  <si>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</si>
  <si>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</si>
  <si>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</si>
  <si>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</si>
  <si>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</si>
  <si>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</si>
  <si>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</si>
  <si>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</si>
  <si>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</si>
  <si>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</si>
  <si>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</si>
  <si>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</si>
  <si>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</si>
  <si>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</si>
  <si>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</si>
  <si>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</si>
  <si>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</si>
  <si>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</si>
  <si>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</si>
  <si>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</si>
  <si>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</si>
  <si>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</si>
  <si>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</si>
  <si>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</si>
  <si>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</si>
  <si>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</si>
  <si>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</si>
  <si>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</si>
  <si>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</si>
  <si>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</si>
  <si>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</si>
  <si>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</si>
  <si>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</si>
  <si>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</si>
  <si>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</si>
  <si>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</si>
  <si>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</si>
  <si>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</si>
  <si>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</si>
  <si>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</si>
  <si>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</si>
  <si>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</si>
  <si>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</si>
  <si>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</si>
  <si>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</si>
  <si>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</si>
  <si>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</si>
  <si>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</si>
  <si>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</si>
  <si>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</si>
  <si>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</si>
  <si>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</si>
  <si>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</si>
  <si>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</si>
  <si>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</si>
  <si>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</si>
  <si>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</si>
  <si>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</si>
  <si>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</si>
  <si>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</si>
  <si>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</si>
  <si>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</si>
  <si>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</si>
  <si>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</si>
  <si>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</si>
  <si>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</si>
  <si>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</si>
  <si>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</si>
  <si>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</si>
  <si>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</si>
  <si>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</si>
  <si>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</si>
  <si>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</si>
  <si>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</si>
  <si>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</si>
  <si>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</si>
  <si>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</si>
  <si>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</si>
  <si>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</si>
  <si>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</si>
  <si>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</si>
  <si>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</si>
  <si>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</si>
  <si>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</si>
  <si>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</si>
  <si>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</si>
  <si>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</si>
  <si>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</si>
  <si>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</si>
  <si>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</si>
  <si>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</si>
  <si>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</si>
  <si>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</si>
  <si>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</si>
  <si>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</si>
  <si>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</si>
  <si>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</si>
  <si>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</si>
  <si>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</si>
  <si>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</si>
  <si>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</si>
  <si>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</si>
  <si>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</si>
  <si>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</si>
  <si>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</si>
  <si>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</si>
  <si>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</si>
  <si>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</si>
  <si>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</si>
  <si>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</si>
  <si>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</si>
  <si>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</si>
  <si>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</si>
  <si>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</si>
  <si>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</si>
  <si>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</si>
  <si>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</si>
  <si>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</si>
  <si>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</si>
  <si>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</si>
  <si>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</si>
  <si>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</si>
  <si>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</si>
  <si>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</si>
  <si>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</si>
  <si>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</si>
  <si>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</si>
  <si>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</si>
  <si>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</si>
  <si>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</si>
  <si>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</si>
  <si>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</si>
  <si>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</si>
  <si>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</si>
  <si>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</si>
  <si>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</si>
  <si>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</si>
  <si>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</si>
  <si>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</si>
  <si>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</si>
  <si>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</si>
  <si>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</si>
  <si>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</si>
  <si>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</si>
  <si>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</si>
  <si>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</si>
  <si>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</si>
  <si>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</si>
  <si>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</si>
  <si>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</si>
  <si>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</si>
  <si>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</si>
  <si>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</si>
  <si>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</si>
  <si>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</si>
  <si>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</si>
  <si>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</si>
  <si>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</si>
  <si>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</si>
  <si>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</si>
  <si>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</si>
  <si>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</si>
  <si>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</si>
  <si>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</si>
  <si>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</si>
  <si>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</si>
  <si>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</si>
  <si>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</si>
  <si>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</si>
  <si>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</si>
  <si>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</si>
  <si>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</si>
  <si>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</si>
  <si>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</si>
  <si>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</si>
  <si>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</si>
  <si>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</si>
  <si>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</si>
  <si>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</si>
  <si>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</si>
  <si>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</si>
  <si>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</si>
  <si>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</si>
  <si>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</si>
  <si>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</si>
  <si>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</si>
  <si>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</si>
  <si>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</si>
  <si>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</si>
  <si>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</si>
  <si>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</si>
  <si>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</si>
  <si>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</si>
  <si>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</si>
  <si>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</si>
  <si>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</si>
  <si>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</si>
  <si>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</si>
  <si>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</si>
  <si>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</si>
  <si>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</si>
  <si>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</si>
  <si>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</si>
  <si>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</si>
  <si>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</si>
  <si>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</si>
  <si>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</si>
  <si>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</si>
  <si>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</si>
  <si>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</si>
  <si>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</si>
  <si>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</si>
  <si>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</si>
  <si>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</si>
  <si>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</si>
  <si>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</si>
  <si>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</si>
  <si>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</si>
  <si>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</si>
  <si>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</si>
  <si>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</si>
  <si>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</si>
  <si>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</si>
  <si>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</si>
  <si>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</si>
  <si>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</si>
  <si>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</si>
  <si>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</si>
  <si>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</si>
  <si>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</si>
  <si>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</si>
  <si>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</si>
  <si>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</si>
  <si>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</si>
  <si>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</si>
  <si>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</si>
  <si>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</si>
  <si>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</si>
  <si>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</si>
  <si>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</si>
  <si>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</si>
  <si>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</si>
  <si>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</si>
  <si>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</si>
  <si>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</si>
  <si>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</si>
  <si>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</si>
  <si>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</si>
  <si>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</si>
  <si>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</si>
  <si>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</si>
  <si>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</si>
  <si>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</si>
  <si>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</si>
  <si>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</si>
  <si>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</si>
  <si>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</si>
  <si>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</si>
  <si>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</si>
  <si>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</si>
  <si>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</si>
  <si>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</si>
  <si>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</si>
  <si>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</si>
  <si>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</si>
  <si>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</si>
  <si>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</si>
  <si>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</si>
  <si>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</si>
  <si>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</si>
  <si>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</si>
  <si>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</si>
  <si>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</si>
  <si>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</si>
  <si>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</si>
  <si>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</si>
  <si>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</si>
  <si>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</si>
  <si>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</si>
  <si>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</si>
  <si>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</si>
  <si>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</si>
  <si>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</si>
  <si>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</si>
  <si>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</si>
  <si>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</si>
  <si>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</si>
  <si>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</si>
  <si>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</si>
  <si>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</si>
  <si>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</si>
  <si>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</si>
  <si>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</si>
  <si>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</si>
  <si>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</si>
  <si>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</si>
  <si>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</si>
  <si>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</si>
  <si>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</si>
  <si>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</si>
  <si>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</si>
  <si>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</si>
  <si>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</si>
  <si>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</si>
  <si>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</si>
  <si>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</si>
  <si>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</si>
  <si>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</si>
  <si>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</si>
  <si>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</si>
  <si>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</si>
  <si>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</si>
  <si>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</si>
  <si>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</si>
  <si>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</si>
  <si>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</si>
  <si>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</si>
  <si>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</si>
  <si>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</si>
  <si>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</si>
  <si>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</si>
  <si>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</si>
  <si>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</si>
  <si>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</si>
  <si>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</si>
  <si>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</si>
  <si>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</si>
  <si>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</si>
  <si>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</si>
  <si>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</si>
  <si>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</si>
  <si>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</si>
  <si>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</si>
  <si>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</si>
  <si>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</si>
  <si>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</si>
  <si>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</si>
  <si>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</si>
  <si>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</si>
  <si>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</si>
  <si>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</si>
  <si>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</si>
  <si>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</si>
  <si>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</si>
  <si>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</si>
  <si>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</si>
  <si>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</si>
  <si>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</si>
  <si>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</si>
  <si>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</si>
  <si>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</si>
  <si>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</si>
  <si>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</si>
  <si>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</si>
  <si>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</si>
  <si>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</si>
  <si>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</si>
  <si>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</si>
  <si>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</si>
  <si>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</si>
  <si>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</si>
  <si>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</si>
  <si>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</si>
  <si>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</si>
  <si>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</si>
  <si>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</si>
  <si>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</si>
  <si>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</si>
  <si>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</si>
  <si>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</si>
  <si>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</si>
  <si>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</si>
  <si>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</si>
  <si>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</si>
  <si>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</si>
  <si>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</si>
  <si>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</si>
  <si>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</si>
  <si>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</si>
  <si>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</si>
  <si>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</si>
  <si>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</si>
  <si>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</si>
  <si>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</si>
  <si>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</si>
  <si>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</si>
  <si>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</si>
  <si>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</si>
  <si>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</si>
  <si>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</si>
  <si>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</si>
  <si>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</si>
  <si>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</si>
  <si>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</si>
  <si>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</si>
  <si>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</si>
  <si>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</si>
  <si>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</si>
  <si>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</si>
  <si>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</si>
  <si>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</si>
  <si>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</si>
  <si>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</si>
  <si>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</si>
  <si>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</si>
  <si>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</si>
  <si>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</si>
  <si>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</si>
  <si>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</si>
  <si>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</si>
  <si>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</si>
  <si>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</si>
  <si>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</si>
  <si>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</si>
  <si>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Duplicates</t>
  </si>
  <si>
    <t>Missing order IDs</t>
  </si>
  <si>
    <t>Missing Order Dates</t>
  </si>
  <si>
    <t>Missing Regions</t>
  </si>
  <si>
    <t>Missing Products</t>
  </si>
  <si>
    <t>Missing Revenues</t>
  </si>
  <si>
    <t>Total Revenue</t>
  </si>
  <si>
    <t>Total Profit</t>
  </si>
  <si>
    <t>Total Orders</t>
  </si>
  <si>
    <t>Total Units Sold</t>
  </si>
  <si>
    <t>Profit Margin</t>
  </si>
  <si>
    <t>Sales Performance Dashboard — Project Dataset</t>
  </si>
  <si>
    <t>Purpose</t>
  </si>
  <si>
    <t>Practice Excel data cleaning, formulas, PivotTables, charts, and an interactive dashboard.</t>
  </si>
  <si>
    <t>Rows</t>
  </si>
  <si>
    <t>500 sales orders (synthetic practice data).</t>
  </si>
  <si>
    <t>Currency</t>
  </si>
  <si>
    <t>Indian Rupees (₹). Values are simulated for learning and are not real company records.</t>
  </si>
  <si>
    <t>Unique identifier for each order.</t>
  </si>
  <si>
    <t>Date the order was placed.</t>
  </si>
  <si>
    <t>Region / City</t>
  </si>
  <si>
    <t>Geographic location of the sale.</t>
  </si>
  <si>
    <t>Representative associated with the order.</t>
  </si>
  <si>
    <t>Consumer, Corporate, or Small Business.</t>
  </si>
  <si>
    <t>Category / Product</t>
  </si>
  <si>
    <t>Product grouping and item name.</t>
  </si>
  <si>
    <t>Number of units sold.</t>
  </si>
  <si>
    <t>Price per unit before discount.</t>
  </si>
  <si>
    <t>Discount applied to the order.</t>
  </si>
  <si>
    <t>Sales value after discount.</t>
  </si>
  <si>
    <t>Simulated cost for the order.</t>
  </si>
  <si>
    <t>Revenue minus cost.</t>
  </si>
  <si>
    <t>Method used to pay.</t>
  </si>
  <si>
    <t>Important note</t>
  </si>
  <si>
    <t>This dataset is generated for practice; no real customer personal data is included.</t>
  </si>
  <si>
    <t>Recommended first task</t>
  </si>
  <si>
    <t>Open Sales_Data, inspect the columns, and save a copy before making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</si>
</sst>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#,##0.00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17365D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3" fillId="2" borderId="0" xfId="0" applyFont="1" applyFill="1" applyAlignment="1">
      <alignment vertical="center"/>
    </xf>
    <xf numFmtId="0" fontId="0" fillId="0" borderId="0" xfId="0" applyAlignment="1"/>
    <xf numFmtId="0" fontId="0" fillId="0" borderId="0" xfId="0" pivotButton="1"/>
    <xf numFmtId="0" fontId="5" fillId="0" borderId="0" xfId="0" applyFont="1"/>
    <xf numFmtId="0" fontId="5" fillId="0" borderId="0" xfId="0" quotePrefix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19">
    <dxf>
      <numFmt numFmtId="165" formatCode="&quot;₹&quot;#,##0.00"/>
    </dxf>
    <dxf>
      <numFmt numFmtId="165" formatCode="&quot;₹&quot;#,##0.00"/>
    </dxf>
    <dxf>
      <numFmt numFmtId="165" formatCode="&quot;₹&quot;#,##0.00"/>
    </dxf>
    <dxf>
      <numFmt numFmtId="165" formatCode="&quot;₹&quot;#,##0.00"/>
    </dxf>
    <dxf>
      <numFmt numFmtId="165" formatCode="&quot;₹&quot;#,##0.00"/>
    </dxf>
    <dxf>
      <numFmt numFmtId="165" formatCode="&quot;₹&quot;#,##0.00"/>
    </dxf>
    <dxf>
      <numFmt numFmtId="13" formatCode="0%"/>
    </dxf>
    <dxf>
      <numFmt numFmtId="13" formatCode="0%"/>
    </dxf>
    <dxf>
      <numFmt numFmtId="165" formatCode="&quot;₹&quot;#,##0.00"/>
    </dxf>
    <dxf>
      <numFmt numFmtId="165" formatCode="&quot;₹&quot;#,##0.00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[Sales_Performance_Dashboard_Dataset.xlsx]Monthly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Revenue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Analysis'!$A$4:$A$16</c:f>
              <c:strCache>
                <c:ptCount val="12"/>
                <c:pt idx="0">
                  <c:v>2025-01-01</c:v>
                </c:pt>
                <c:pt idx="1">
                  <c:v>2025-02-01</c:v>
                </c:pt>
                <c:pt idx="2">
                  <c:v>2025-03-01</c:v>
                </c:pt>
                <c:pt idx="3">
                  <c:v>2025-04-01</c:v>
                </c:pt>
                <c:pt idx="4">
                  <c:v>2025-05-01</c:v>
                </c:pt>
                <c:pt idx="5">
                  <c:v>2025-06-01</c:v>
                </c:pt>
                <c:pt idx="6">
                  <c:v>2025-07-01</c:v>
                </c:pt>
                <c:pt idx="7">
                  <c:v>2025-08-01</c:v>
                </c:pt>
                <c:pt idx="8">
                  <c:v>2025-09-01</c:v>
                </c:pt>
                <c:pt idx="9">
                  <c:v>2025-10-01</c:v>
                </c:pt>
                <c:pt idx="10">
                  <c:v>2025-11-01</c:v>
                </c:pt>
                <c:pt idx="11">
                  <c:v>2025-12-01</c:v>
                </c:pt>
              </c:strCache>
            </c:strRef>
          </c:cat>
          <c:val>
            <c:numRef>
              <c:f>'Monthly Analysis'!$B$4:$B$16</c:f>
              <c:numCache>
                <c:formatCode>"₹"#,##0.00</c:formatCode>
                <c:ptCount val="12"/>
                <c:pt idx="0">
                  <c:v>10571.65</c:v>
                </c:pt>
                <c:pt idx="1">
                  <c:v>12205.039999999999</c:v>
                </c:pt>
                <c:pt idx="2">
                  <c:v>13718.21</c:v>
                </c:pt>
                <c:pt idx="3">
                  <c:v>11682.120000000003</c:v>
                </c:pt>
                <c:pt idx="4">
                  <c:v>9630.19</c:v>
                </c:pt>
                <c:pt idx="5">
                  <c:v>10458.5</c:v>
                </c:pt>
                <c:pt idx="6">
                  <c:v>10635.35</c:v>
                </c:pt>
                <c:pt idx="7">
                  <c:v>12734.57</c:v>
                </c:pt>
                <c:pt idx="8">
                  <c:v>12110.930000000002</c:v>
                </c:pt>
                <c:pt idx="9">
                  <c:v>10200.41</c:v>
                </c:pt>
                <c:pt idx="10">
                  <c:v>10180.52</c:v>
                </c:pt>
                <c:pt idx="11">
                  <c:v>13032.57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0-4E84-8919-E0112E127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590663"/>
        <c:axId val="859592711"/>
      </c:lineChart>
      <c:catAx>
        <c:axId val="859590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592711"/>
        <c:crosses val="autoZero"/>
        <c:auto val="1"/>
        <c:lblAlgn val="ctr"/>
        <c:lblOffset val="100"/>
        <c:noMultiLvlLbl val="0"/>
      </c:catAx>
      <c:valAx>
        <c:axId val="859592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590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[Sales_Performance_Dashboard_Dataset.xlsx]Regional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Analysis'!$A$4:$A$9</c:f>
              <c:strCache>
                <c:ptCount val="5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North</c:v>
                </c:pt>
              </c:strCache>
            </c:strRef>
          </c:cat>
          <c:val>
            <c:numRef>
              <c:f>'Regional Analysis'!$B$4:$B$9</c:f>
              <c:numCache>
                <c:formatCode>"₹"#,##0.00</c:formatCode>
                <c:ptCount val="5"/>
                <c:pt idx="0">
                  <c:v>31586.069999999985</c:v>
                </c:pt>
                <c:pt idx="1">
                  <c:v>27147.15</c:v>
                </c:pt>
                <c:pt idx="2">
                  <c:v>26860.270000000011</c:v>
                </c:pt>
                <c:pt idx="3">
                  <c:v>26401.109999999997</c:v>
                </c:pt>
                <c:pt idx="4">
                  <c:v>25165.459999999995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7-41F1-84BC-6AD1E66EF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4181895"/>
        <c:axId val="1454204423"/>
      </c:barChart>
      <c:catAx>
        <c:axId val="1454181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204423"/>
        <c:crosses val="autoZero"/>
        <c:auto val="1"/>
        <c:lblAlgn val="ctr"/>
        <c:lblOffset val="100"/>
        <c:noMultiLvlLbl val="0"/>
      </c:catAx>
      <c:valAx>
        <c:axId val="1454204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181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[Sales_Performance_Dashboard_Dataset.xlsx]Category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'Category Analysis'!$B$4:$B$7</c:f>
              <c:numCache>
                <c:formatCode>"₹"#,##0.00</c:formatCode>
                <c:ptCount val="3"/>
                <c:pt idx="0">
                  <c:v>94507.28</c:v>
                </c:pt>
                <c:pt idx="1">
                  <c:v>35728.540000000015</c:v>
                </c:pt>
                <c:pt idx="2">
                  <c:v>6924.24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2-48A5-8BE4-11BD2AB1E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243975"/>
        <c:axId val="2033528839"/>
      </c:barChart>
      <c:catAx>
        <c:axId val="92243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28839"/>
        <c:crosses val="autoZero"/>
        <c:auto val="1"/>
        <c:lblAlgn val="ctr"/>
        <c:lblOffset val="100"/>
        <c:noMultiLvlLbl val="0"/>
      </c:catAx>
      <c:valAx>
        <c:axId val="2033528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3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[Sales_Performance_Dashboard_Dataset.xlsx]Profit 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Analysis'!$A$4:$A$7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'Profit Analysis'!$B$4:$B$7</c:f>
              <c:numCache>
                <c:formatCode>"₹"#,##0.00</c:formatCode>
                <c:ptCount val="3"/>
                <c:pt idx="0">
                  <c:v>27258.429999999989</c:v>
                </c:pt>
                <c:pt idx="1">
                  <c:v>9954.98</c:v>
                </c:pt>
                <c:pt idx="2">
                  <c:v>1936.6000000000004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6-433F-AA2F-BAC490E4A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2950663"/>
        <c:axId val="2033581575"/>
      </c:barChart>
      <c:catAx>
        <c:axId val="1682950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81575"/>
        <c:crosses val="autoZero"/>
        <c:auto val="1"/>
        <c:lblAlgn val="ctr"/>
        <c:lblOffset val="100"/>
        <c:noMultiLvlLbl val="0"/>
      </c:catAx>
      <c:valAx>
        <c:axId val="2033581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50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5</xdr:row>
      <xdr:rowOff>180975</xdr:rowOff>
    </xdr:from>
    <xdr:to>
      <xdr:col>10</xdr:col>
      <xdr:colOff>0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CAE5A-D520-4B5A-A4DA-83DF2C16E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15</xdr:row>
      <xdr:rowOff>180975</xdr:rowOff>
    </xdr:from>
    <xdr:to>
      <xdr:col>10</xdr:col>
      <xdr:colOff>9525</xdr:colOff>
      <xdr:row>24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0DEBDB-12A3-4663-BA5F-ED56E1E2D326}"/>
            </a:ext>
            <a:ext uri="{147F2762-F138-4A5C-976F-8EAC2B608ADB}">
              <a16:predDERef xmlns:a16="http://schemas.microsoft.com/office/drawing/2014/main" pred="{11FCAE5A-D520-4B5A-A4DA-83DF2C16E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600075</xdr:colOff>
      <xdr:row>5</xdr:row>
      <xdr:rowOff>180975</xdr:rowOff>
    </xdr:from>
    <xdr:to>
      <xdr:col>18</xdr:col>
      <xdr:colOff>19050</xdr:colOff>
      <xdr:row>14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1797AE-91B8-4CFC-998F-1F3F455D9BC7}"/>
            </a:ext>
            <a:ext uri="{147F2762-F138-4A5C-976F-8EAC2B608ADB}">
              <a16:predDERef xmlns:a16="http://schemas.microsoft.com/office/drawing/2014/main" pred="{600DEBDB-12A3-4663-BA5F-ED56E1E2D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600075</xdr:colOff>
      <xdr:row>16</xdr:row>
      <xdr:rowOff>0</xdr:rowOff>
    </xdr:from>
    <xdr:to>
      <xdr:col>18</xdr:col>
      <xdr:colOff>28575</xdr:colOff>
      <xdr:row>24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36B56F-1C0A-418C-86F3-F0DB574381CA}"/>
            </a:ext>
            <a:ext uri="{147F2762-F138-4A5C-976F-8EAC2B608ADB}">
              <a16:predDERef xmlns:a16="http://schemas.microsoft.com/office/drawing/2014/main" pred="{DD1797AE-91B8-4CFC-998F-1F3F455D9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7.602500347224" createdVersion="8" refreshedVersion="8" minRefreshableVersion="3" recordCount="500" xr:uid="{DE2F4360-2702-4B6C-B230-28F92B17B078}">
  <cacheSource type="worksheet">
    <worksheetSource name="Table1"/>
  </cacheSource>
  <cacheFields count="17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5-12-31T00:00:00"/>
    </cacheField>
    <cacheField name="Month" numFmtId="164">
      <sharedItems count="12">
        <s v="Nov 2025"/>
        <s v="Feb 2025"/>
        <s v="Jan 2025"/>
        <s v="Dec 2025"/>
        <s v="Mar 2025"/>
        <s v="Jul 2025"/>
        <s v="Apr 2025"/>
        <s v="Oct 2025"/>
        <s v="May 2025"/>
        <s v="Jun 2025"/>
        <s v="Aug 2025"/>
        <s v="Sep 2025"/>
      </sharedItems>
    </cacheField>
    <cacheField name="Month_Start" numFmtId="164">
      <sharedItems containsSemiMixedTypes="0" containsNonDate="0" containsDate="1" containsString="0" minDate="2025-01-01T00:00:00" maxDate="2025-12-02T00:00:00" count="12">
        <d v="2025-11-01T00:00:00"/>
        <d v="2025-02-01T00:00:00"/>
        <d v="2025-01-01T00:00:00"/>
        <d v="2025-12-01T00:00:00"/>
        <d v="2025-03-01T00:00:00"/>
        <d v="2025-07-01T00:00:00"/>
        <d v="2025-04-01T00:00:00"/>
        <d v="2025-10-01T00:00:00"/>
        <d v="2025-05-01T00:00:00"/>
        <d v="2025-06-01T00:00:00"/>
        <d v="2025-08-01T00:00:00"/>
        <d v="2025-09-01T00:00:00"/>
      </sharedItems>
    </cacheField>
    <cacheField name="Region" numFmtId="0">
      <sharedItems count="5">
        <s v="Central"/>
        <s v="West"/>
        <s v="East"/>
        <s v="North"/>
        <s v="South"/>
      </sharedItems>
    </cacheField>
    <cacheField name="City" numFmtId="0">
      <sharedItems/>
    </cacheField>
    <cacheField name="Sales_Rep" numFmtId="0">
      <sharedItems/>
    </cacheField>
    <cacheField name="Customer_Segment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165">
      <sharedItems containsSemiMixedTypes="0" containsString="0" containsNumber="1" minValue="7.2" maxValue="353.38"/>
    </cacheField>
    <cacheField name="Discount_Rate" numFmtId="9">
      <sharedItems containsSemiMixedTypes="0" containsString="0" containsNumber="1" minValue="0" maxValue="0.15"/>
    </cacheField>
    <cacheField name="Revenue" numFmtId="165">
      <sharedItems containsSemiMixedTypes="0" containsString="0" containsNumber="1" minValue="6.12" maxValue="2690.4"/>
    </cacheField>
    <cacheField name="Cost" numFmtId="165">
      <sharedItems containsSemiMixedTypes="0" containsString="0" containsNumber="1" minValue="4.59" maxValue="1980.79"/>
    </cacheField>
    <cacheField name="Profit" numFmtId="165">
      <sharedItems containsSemiMixedTypes="0" containsString="0" containsNumber="1" minValue="0.44" maxValue="897.07"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0001"/>
    <d v="2025-11-24T00:00:00"/>
    <x v="0"/>
    <x v="0"/>
    <x v="0"/>
    <s v="Bhopal"/>
    <s v="Karan Patel"/>
    <s v="Consumer"/>
    <x v="0"/>
    <s v="Wireless Mouse"/>
    <n v="4"/>
    <n v="23.85"/>
    <n v="0"/>
    <n v="95.4"/>
    <n v="70.69"/>
    <n v="24.71"/>
    <s v="Credit Card"/>
  </r>
  <r>
    <s v="ORD-0002"/>
    <d v="2025-02-17T00:00:00"/>
    <x v="1"/>
    <x v="1"/>
    <x v="0"/>
    <s v="Indore"/>
    <s v="Ananya Rao"/>
    <s v="Corporate"/>
    <x v="0"/>
    <s v="Keyboard"/>
    <n v="3"/>
    <n v="40.76"/>
    <n v="0"/>
    <n v="122.28"/>
    <n v="89.85"/>
    <n v="32.43"/>
    <s v="Net Banking"/>
  </r>
  <r>
    <s v="ORD-0003"/>
    <d v="2025-01-04T00:00:00"/>
    <x v="2"/>
    <x v="2"/>
    <x v="1"/>
    <s v="Mumbai"/>
    <s v="Meera Iyer"/>
    <s v="Corporate"/>
    <x v="0"/>
    <s v="Headphones"/>
    <n v="2"/>
    <n v="74.739999999999995"/>
    <n v="0.05"/>
    <n v="142.01"/>
    <n v="82.31"/>
    <n v="59.7"/>
    <s v="Net Banking"/>
  </r>
  <r>
    <s v="ORD-0004"/>
    <d v="2025-01-23T00:00:00"/>
    <x v="2"/>
    <x v="2"/>
    <x v="2"/>
    <s v="Guwahati"/>
    <s v="Meera Iyer"/>
    <s v="Small Business"/>
    <x v="1"/>
    <s v="Filing Cabinet"/>
    <n v="3"/>
    <n v="233.96"/>
    <n v="0.1"/>
    <n v="631.69000000000005"/>
    <n v="381.57"/>
    <n v="250.12"/>
    <s v="UPI"/>
  </r>
  <r>
    <s v="ORD-0005"/>
    <d v="2025-12-27T00:00:00"/>
    <x v="3"/>
    <x v="3"/>
    <x v="3"/>
    <s v="Chandigarh"/>
    <s v="Vikram Singh"/>
    <s v="Corporate"/>
    <x v="0"/>
    <s v="Wireless Mouse"/>
    <n v="3"/>
    <n v="26.75"/>
    <n v="0"/>
    <n v="80.25"/>
    <n v="62.32"/>
    <n v="17.93"/>
    <s v="Net Banking"/>
  </r>
  <r>
    <s v="ORD-0006"/>
    <d v="2025-03-25T00:00:00"/>
    <x v="4"/>
    <x v="4"/>
    <x v="4"/>
    <s v="Hyderabad"/>
    <s v="Ananya Rao"/>
    <s v="Consumer"/>
    <x v="2"/>
    <s v="Pens Set"/>
    <n v="1"/>
    <n v="9.59"/>
    <n v="0"/>
    <n v="9.59"/>
    <n v="6.74"/>
    <n v="2.85"/>
    <s v="Debit Card"/>
  </r>
  <r>
    <s v="ORD-0007"/>
    <d v="2025-07-14T00:00:00"/>
    <x v="5"/>
    <x v="5"/>
    <x v="3"/>
    <s v="Chandigarh"/>
    <s v="Karan Patel"/>
    <s v="Corporate"/>
    <x v="2"/>
    <s v="Stapler"/>
    <n v="1"/>
    <n v="14.57"/>
    <n v="0"/>
    <n v="14.57"/>
    <n v="8.58"/>
    <n v="5.99"/>
    <s v="Credit Card"/>
  </r>
  <r>
    <s v="ORD-0008"/>
    <d v="2025-04-19T00:00:00"/>
    <x v="6"/>
    <x v="6"/>
    <x v="4"/>
    <s v="Bengaluru"/>
    <s v="Vikram Singh"/>
    <s v="Small Business"/>
    <x v="1"/>
    <s v="Bookshelf"/>
    <n v="1"/>
    <n v="151.47"/>
    <n v="0.1"/>
    <n v="136.32"/>
    <n v="85.26"/>
    <n v="51.06"/>
    <s v="Debit Card"/>
  </r>
  <r>
    <s v="ORD-0009"/>
    <d v="2025-10-26T00:00:00"/>
    <x v="7"/>
    <x v="7"/>
    <x v="3"/>
    <s v="Delhi"/>
    <s v="Rohan Mehta"/>
    <s v="Small Business"/>
    <x v="2"/>
    <s v="Pens Set"/>
    <n v="1"/>
    <n v="11.19"/>
    <n v="0.15"/>
    <n v="9.51"/>
    <n v="7.48"/>
    <n v="2.0299999999999998"/>
    <s v="UPI"/>
  </r>
  <r>
    <s v="ORD-0010"/>
    <d v="2025-12-15T00:00:00"/>
    <x v="3"/>
    <x v="3"/>
    <x v="0"/>
    <s v="Bhopal"/>
    <s v="Priya Nair"/>
    <s v="Small Business"/>
    <x v="2"/>
    <s v="Stapler"/>
    <n v="1"/>
    <n v="14.76"/>
    <n v="0.1"/>
    <n v="13.28"/>
    <n v="10.02"/>
    <n v="3.26"/>
    <s v="Net Banking"/>
  </r>
  <r>
    <s v="ORD-0011"/>
    <d v="2025-11-25T00:00:00"/>
    <x v="0"/>
    <x v="0"/>
    <x v="2"/>
    <s v="Guwahati"/>
    <s v="Rohan Mehta"/>
    <s v="Small Business"/>
    <x v="2"/>
    <s v="Notebook Pack"/>
    <n v="2"/>
    <n v="11.22"/>
    <n v="0"/>
    <n v="22.44"/>
    <n v="18.09"/>
    <n v="4.3499999999999996"/>
    <s v="Credit Card"/>
  </r>
  <r>
    <s v="ORD-0012"/>
    <d v="2025-11-17T00:00:00"/>
    <x v="0"/>
    <x v="0"/>
    <x v="0"/>
    <s v="Bhopal"/>
    <s v="Meera Iyer"/>
    <s v="Corporate"/>
    <x v="2"/>
    <s v="Stapler"/>
    <n v="3"/>
    <n v="14"/>
    <n v="0"/>
    <n v="42"/>
    <n v="28.64"/>
    <n v="13.36"/>
    <s v="Credit Card"/>
  </r>
  <r>
    <s v="ORD-0013"/>
    <d v="2025-02-27T00:00:00"/>
    <x v="1"/>
    <x v="1"/>
    <x v="3"/>
    <s v="Jaipur"/>
    <s v="Neha Das"/>
    <s v="Consumer"/>
    <x v="2"/>
    <s v="Pens Set"/>
    <n v="1"/>
    <n v="9.5299999999999994"/>
    <n v="0.15"/>
    <n v="8.1"/>
    <n v="7.66"/>
    <n v="0.44"/>
    <s v="UPI"/>
  </r>
  <r>
    <s v="ORD-0014"/>
    <d v="2025-03-07T00:00:00"/>
    <x v="4"/>
    <x v="4"/>
    <x v="1"/>
    <s v="Mumbai"/>
    <s v="Ananya Rao"/>
    <s v="Small Business"/>
    <x v="1"/>
    <s v="Filing Cabinet"/>
    <n v="8"/>
    <n v="196.63"/>
    <n v="0.15"/>
    <n v="1337.08"/>
    <n v="1229.69"/>
    <n v="107.39"/>
    <s v="Net Banking"/>
  </r>
  <r>
    <s v="ORD-0015"/>
    <d v="2025-07-24T00:00:00"/>
    <x v="5"/>
    <x v="5"/>
    <x v="3"/>
    <s v="Chandigarh"/>
    <s v="Aarav Sharma"/>
    <s v="Small Business"/>
    <x v="1"/>
    <s v="Bookshelf"/>
    <n v="2"/>
    <n v="152.08000000000001"/>
    <n v="0"/>
    <n v="304.16000000000003"/>
    <n v="180.78"/>
    <n v="123.38"/>
    <s v="UPI"/>
  </r>
  <r>
    <s v="ORD-0016"/>
    <d v="2025-10-29T00:00:00"/>
    <x v="7"/>
    <x v="7"/>
    <x v="3"/>
    <s v="Chandigarh"/>
    <s v="Priya Nair"/>
    <s v="Small Business"/>
    <x v="0"/>
    <s v="Wireless Mouse"/>
    <n v="1"/>
    <n v="25.97"/>
    <n v="0"/>
    <n v="25.97"/>
    <n v="14.03"/>
    <n v="11.94"/>
    <s v="UPI"/>
  </r>
  <r>
    <s v="ORD-0017"/>
    <d v="2025-05-23T00:00:00"/>
    <x v="8"/>
    <x v="8"/>
    <x v="4"/>
    <s v="Chennai"/>
    <s v="Karan Patel"/>
    <s v="Consumer"/>
    <x v="1"/>
    <s v="Filing Cabinet"/>
    <n v="1"/>
    <n v="195.11"/>
    <n v="0.15"/>
    <n v="165.84"/>
    <n v="135.18"/>
    <n v="30.66"/>
    <s v="Credit Card"/>
  </r>
  <r>
    <s v="ORD-0018"/>
    <d v="2025-02-19T00:00:00"/>
    <x v="1"/>
    <x v="1"/>
    <x v="3"/>
    <s v="Delhi"/>
    <s v="Karan Patel"/>
    <s v="Small Business"/>
    <x v="1"/>
    <s v="Filing Cabinet"/>
    <n v="2"/>
    <n v="207.99"/>
    <n v="0"/>
    <n v="415.98"/>
    <n v="300.33999999999997"/>
    <n v="115.64"/>
    <s v="Net Banking"/>
  </r>
  <r>
    <s v="ORD-0019"/>
    <d v="2025-02-25T00:00:00"/>
    <x v="1"/>
    <x v="1"/>
    <x v="1"/>
    <s v="Mumbai"/>
    <s v="Priya Nair"/>
    <s v="Corporate"/>
    <x v="0"/>
    <s v="Keyboard"/>
    <n v="1"/>
    <n v="44.94"/>
    <n v="0.1"/>
    <n v="40.450000000000003"/>
    <n v="25.84"/>
    <n v="14.61"/>
    <s v="Credit Card"/>
  </r>
  <r>
    <s v="ORD-0020"/>
    <d v="2025-01-26T00:00:00"/>
    <x v="2"/>
    <x v="2"/>
    <x v="1"/>
    <s v="Pune"/>
    <s v="Ananya Rao"/>
    <s v="Corporate"/>
    <x v="1"/>
    <s v="Desk Lamp"/>
    <n v="5"/>
    <n v="44.53"/>
    <n v="0"/>
    <n v="222.65"/>
    <n v="126.89"/>
    <n v="95.76"/>
    <s v="Credit Card"/>
  </r>
  <r>
    <s v="ORD-0021"/>
    <d v="2025-03-26T00:00:00"/>
    <x v="4"/>
    <x v="4"/>
    <x v="0"/>
    <s v="Nagpur"/>
    <s v="Neha Das"/>
    <s v="Consumer"/>
    <x v="2"/>
    <s v="Notebook Pack"/>
    <n v="10"/>
    <n v="11.5"/>
    <n v="0.1"/>
    <n v="103.5"/>
    <n v="69.64"/>
    <n v="33.86"/>
    <s v="UPI"/>
  </r>
  <r>
    <s v="ORD-0022"/>
    <d v="2025-06-01T00:00:00"/>
    <x v="9"/>
    <x v="9"/>
    <x v="0"/>
    <s v="Indore"/>
    <s v="Rohan Mehta"/>
    <s v="Consumer"/>
    <x v="0"/>
    <s v="Wireless Mouse"/>
    <n v="3"/>
    <n v="25.48"/>
    <n v="0.05"/>
    <n v="72.62"/>
    <n v="41.06"/>
    <n v="31.56"/>
    <s v="Credit Card"/>
  </r>
  <r>
    <s v="ORD-0023"/>
    <d v="2025-04-06T00:00:00"/>
    <x v="6"/>
    <x v="6"/>
    <x v="0"/>
    <s v="Bhopal"/>
    <s v="Aarav Sharma"/>
    <s v="Small Business"/>
    <x v="0"/>
    <s v="USB-C Hub"/>
    <n v="1"/>
    <n v="59.93"/>
    <n v="0.1"/>
    <n v="53.94"/>
    <n v="33.32"/>
    <n v="20.62"/>
    <s v="Credit Card"/>
  </r>
  <r>
    <s v="ORD-0024"/>
    <d v="2025-08-03T00:00:00"/>
    <x v="10"/>
    <x v="10"/>
    <x v="2"/>
    <s v="Kolkata"/>
    <s v="Vikram Singh"/>
    <s v="Corporate"/>
    <x v="1"/>
    <s v="Desk Lamp"/>
    <n v="3"/>
    <n v="38.78"/>
    <n v="0.05"/>
    <n v="110.52"/>
    <n v="67.63"/>
    <n v="42.89"/>
    <s v="UPI"/>
  </r>
  <r>
    <s v="ORD-0025"/>
    <d v="2025-12-10T00:00:00"/>
    <x v="3"/>
    <x v="3"/>
    <x v="0"/>
    <s v="Nagpur"/>
    <s v="Priya Nair"/>
    <s v="Consumer"/>
    <x v="1"/>
    <s v="Bookshelf"/>
    <n v="2"/>
    <n v="165.66"/>
    <n v="0"/>
    <n v="331.32"/>
    <n v="173.21"/>
    <n v="158.11000000000001"/>
    <s v="UPI"/>
  </r>
  <r>
    <s v="ORD-0026"/>
    <d v="2025-09-17T00:00:00"/>
    <x v="11"/>
    <x v="11"/>
    <x v="4"/>
    <s v="Chennai"/>
    <s v="Vikram Singh"/>
    <s v="Small Business"/>
    <x v="2"/>
    <s v="Printer Paper"/>
    <n v="6"/>
    <n v="8.75"/>
    <n v="0"/>
    <n v="52.5"/>
    <n v="33.119999999999997"/>
    <n v="19.38"/>
    <s v="Credit Card"/>
  </r>
  <r>
    <s v="ORD-0027"/>
    <d v="2025-12-08T00:00:00"/>
    <x v="3"/>
    <x v="3"/>
    <x v="3"/>
    <s v="Jaipur"/>
    <s v="Rohan Mehta"/>
    <s v="Corporate"/>
    <x v="1"/>
    <s v="Bookshelf"/>
    <n v="6"/>
    <n v="138.41999999999999"/>
    <n v="0"/>
    <n v="830.52"/>
    <n v="497.76"/>
    <n v="332.76"/>
    <s v="Net Banking"/>
  </r>
  <r>
    <s v="ORD-0028"/>
    <d v="2025-11-06T00:00:00"/>
    <x v="0"/>
    <x v="0"/>
    <x v="2"/>
    <s v="Kolkata"/>
    <s v="Priya Nair"/>
    <s v="Small Business"/>
    <x v="0"/>
    <s v="Monitor"/>
    <n v="1"/>
    <n v="228.7"/>
    <n v="0.05"/>
    <n v="217.26"/>
    <n v="153.6"/>
    <n v="63.66"/>
    <s v="Debit Card"/>
  </r>
  <r>
    <s v="ORD-0029"/>
    <d v="2025-05-22T00:00:00"/>
    <x v="8"/>
    <x v="8"/>
    <x v="1"/>
    <s v="Ahmedabad"/>
    <s v="Karan Patel"/>
    <s v="Small Business"/>
    <x v="0"/>
    <s v="Wireless Mouse"/>
    <n v="2"/>
    <n v="23.22"/>
    <n v="0.05"/>
    <n v="44.12"/>
    <n v="26.4"/>
    <n v="17.72"/>
    <s v="Credit Card"/>
  </r>
  <r>
    <s v="ORD-0030"/>
    <d v="2025-02-27T00:00:00"/>
    <x v="1"/>
    <x v="1"/>
    <x v="1"/>
    <s v="Mumbai"/>
    <s v="Aarav Sharma"/>
    <s v="Corporate"/>
    <x v="0"/>
    <s v="Keyboard"/>
    <n v="3"/>
    <n v="48.76"/>
    <n v="0.15"/>
    <n v="124.34"/>
    <n v="100.31"/>
    <n v="24.03"/>
    <s v="Net Banking"/>
  </r>
  <r>
    <s v="ORD-0031"/>
    <d v="2025-01-21T00:00:00"/>
    <x v="2"/>
    <x v="2"/>
    <x v="1"/>
    <s v="Ahmedabad"/>
    <s v="Rohan Mehta"/>
    <s v="Consumer"/>
    <x v="2"/>
    <s v="Printer Paper"/>
    <n v="4"/>
    <n v="8.3699999999999992"/>
    <n v="0.05"/>
    <n v="31.81"/>
    <n v="25.25"/>
    <n v="6.56"/>
    <s v="UPI"/>
  </r>
  <r>
    <s v="ORD-0032"/>
    <d v="2025-04-01T00:00:00"/>
    <x v="6"/>
    <x v="6"/>
    <x v="4"/>
    <s v="Chennai"/>
    <s v="Rohan Mehta"/>
    <s v="Small Business"/>
    <x v="2"/>
    <s v="Notebook Pack"/>
    <n v="1"/>
    <n v="13.24"/>
    <n v="0.1"/>
    <n v="11.92"/>
    <n v="10.07"/>
    <n v="1.85"/>
    <s v="Credit Card"/>
  </r>
  <r>
    <s v="ORD-0033"/>
    <d v="2025-07-15T00:00:00"/>
    <x v="5"/>
    <x v="5"/>
    <x v="4"/>
    <s v="Bengaluru"/>
    <s v="Aarav Sharma"/>
    <s v="Small Business"/>
    <x v="0"/>
    <s v="Headphones"/>
    <n v="1"/>
    <n v="86.37"/>
    <n v="0.1"/>
    <n v="77.73"/>
    <n v="53.97"/>
    <n v="23.76"/>
    <s v="UPI"/>
  </r>
  <r>
    <s v="ORD-0034"/>
    <d v="2025-07-24T00:00:00"/>
    <x v="5"/>
    <x v="5"/>
    <x v="0"/>
    <s v="Indore"/>
    <s v="Meera Iyer"/>
    <s v="Consumer"/>
    <x v="2"/>
    <s v="Pens Set"/>
    <n v="5"/>
    <n v="11.13"/>
    <n v="0.05"/>
    <n v="52.87"/>
    <n v="34.799999999999997"/>
    <n v="18.07"/>
    <s v="Credit Card"/>
  </r>
  <r>
    <s v="ORD-0035"/>
    <d v="2025-05-14T00:00:00"/>
    <x v="8"/>
    <x v="8"/>
    <x v="2"/>
    <s v="Guwahati"/>
    <s v="Meera Iyer"/>
    <s v="Corporate"/>
    <x v="0"/>
    <s v="USB-C Hub"/>
    <n v="8"/>
    <n v="52.71"/>
    <n v="0"/>
    <n v="421.68"/>
    <n v="294.74"/>
    <n v="126.94"/>
    <s v="Credit Card"/>
  </r>
  <r>
    <s v="ORD-0036"/>
    <d v="2025-07-17T00:00:00"/>
    <x v="5"/>
    <x v="5"/>
    <x v="0"/>
    <s v="Nagpur"/>
    <s v="Ananya Rao"/>
    <s v="Corporate"/>
    <x v="1"/>
    <s v="Desk"/>
    <n v="2"/>
    <n v="337.9"/>
    <n v="0"/>
    <n v="675.8"/>
    <n v="456.82"/>
    <n v="218.98"/>
    <s v="Debit Card"/>
  </r>
  <r>
    <s v="ORD-0037"/>
    <d v="2025-02-05T00:00:00"/>
    <x v="1"/>
    <x v="1"/>
    <x v="2"/>
    <s v="Guwahati"/>
    <s v="Vikram Singh"/>
    <s v="Small Business"/>
    <x v="1"/>
    <s v="Bookshelf"/>
    <n v="3"/>
    <n v="156.88999999999999"/>
    <n v="0"/>
    <n v="470.67"/>
    <n v="346.38"/>
    <n v="124.29"/>
    <s v="Debit Card"/>
  </r>
  <r>
    <s v="ORD-0038"/>
    <d v="2025-06-17T00:00:00"/>
    <x v="9"/>
    <x v="9"/>
    <x v="4"/>
    <s v="Hyderabad"/>
    <s v="Vikram Singh"/>
    <s v="Corporate"/>
    <x v="2"/>
    <s v="Pens Set"/>
    <n v="3"/>
    <n v="9.42"/>
    <n v="0.1"/>
    <n v="25.43"/>
    <n v="20.440000000000001"/>
    <n v="4.99"/>
    <s v="Credit Card"/>
  </r>
  <r>
    <s v="ORD-0039"/>
    <d v="2025-06-05T00:00:00"/>
    <x v="9"/>
    <x v="9"/>
    <x v="1"/>
    <s v="Ahmedabad"/>
    <s v="Ananya Rao"/>
    <s v="Small Business"/>
    <x v="2"/>
    <s v="Printer Paper"/>
    <n v="2"/>
    <n v="8.2200000000000006"/>
    <n v="0.05"/>
    <n v="15.62"/>
    <n v="10.84"/>
    <n v="4.78"/>
    <s v="Debit Card"/>
  </r>
  <r>
    <s v="ORD-0040"/>
    <d v="2025-03-28T00:00:00"/>
    <x v="4"/>
    <x v="4"/>
    <x v="4"/>
    <s v="Hyderabad"/>
    <s v="Vikram Singh"/>
    <s v="Consumer"/>
    <x v="1"/>
    <s v="Office Chair"/>
    <n v="2"/>
    <n v="188.29"/>
    <n v="0.15"/>
    <n v="320.08999999999997"/>
    <n v="233.69"/>
    <n v="86.4"/>
    <s v="UPI"/>
  </r>
  <r>
    <s v="ORD-0041"/>
    <d v="2025-03-17T00:00:00"/>
    <x v="4"/>
    <x v="4"/>
    <x v="0"/>
    <s v="Bhopal"/>
    <s v="Karan Patel"/>
    <s v="Corporate"/>
    <x v="0"/>
    <s v="Wireless Mouse"/>
    <n v="1"/>
    <n v="25.11"/>
    <n v="0"/>
    <n v="25.11"/>
    <n v="16.489999999999998"/>
    <n v="8.6199999999999992"/>
    <s v="Debit Card"/>
  </r>
  <r>
    <s v="ORD-0042"/>
    <d v="2025-05-05T00:00:00"/>
    <x v="8"/>
    <x v="8"/>
    <x v="4"/>
    <s v="Bengaluru"/>
    <s v="Neha Das"/>
    <s v="Consumer"/>
    <x v="0"/>
    <s v="Wireless Mouse"/>
    <n v="6"/>
    <n v="27.23"/>
    <n v="0"/>
    <n v="163.38"/>
    <n v="123.11"/>
    <n v="40.270000000000003"/>
    <s v="UPI"/>
  </r>
  <r>
    <s v="ORD-0043"/>
    <d v="2025-03-04T00:00:00"/>
    <x v="4"/>
    <x v="4"/>
    <x v="1"/>
    <s v="Ahmedabad"/>
    <s v="Karan Patel"/>
    <s v="Small Business"/>
    <x v="2"/>
    <s v="Printer Paper"/>
    <n v="5"/>
    <n v="8.3699999999999992"/>
    <n v="0.15"/>
    <n v="35.57"/>
    <n v="29.24"/>
    <n v="6.33"/>
    <s v="Debit Card"/>
  </r>
  <r>
    <s v="ORD-0044"/>
    <d v="2025-03-23T00:00:00"/>
    <x v="4"/>
    <x v="4"/>
    <x v="0"/>
    <s v="Indore"/>
    <s v="Ananya Rao"/>
    <s v="Corporate"/>
    <x v="1"/>
    <s v="Filing Cabinet"/>
    <n v="2"/>
    <n v="223.73"/>
    <n v="0.05"/>
    <n v="425.09"/>
    <n v="335.48"/>
    <n v="89.61"/>
    <s v="Debit Card"/>
  </r>
  <r>
    <s v="ORD-0045"/>
    <d v="2025-02-09T00:00:00"/>
    <x v="1"/>
    <x v="1"/>
    <x v="4"/>
    <s v="Bengaluru"/>
    <s v="Karan Patel"/>
    <s v="Small Business"/>
    <x v="1"/>
    <s v="Bookshelf"/>
    <n v="1"/>
    <n v="146.08000000000001"/>
    <n v="0.15"/>
    <n v="124.17"/>
    <n v="79.489999999999995"/>
    <n v="44.68"/>
    <s v="UPI"/>
  </r>
  <r>
    <s v="ORD-0046"/>
    <d v="2025-12-28T00:00:00"/>
    <x v="3"/>
    <x v="3"/>
    <x v="4"/>
    <s v="Chennai"/>
    <s v="Karan Patel"/>
    <s v="Small Business"/>
    <x v="0"/>
    <s v="Wireless Mouse"/>
    <n v="2"/>
    <n v="24.32"/>
    <n v="0.1"/>
    <n v="43.78"/>
    <n v="31.36"/>
    <n v="12.42"/>
    <s v="Credit Card"/>
  </r>
  <r>
    <s v="ORD-0047"/>
    <d v="2025-10-22T00:00:00"/>
    <x v="7"/>
    <x v="7"/>
    <x v="1"/>
    <s v="Ahmedabad"/>
    <s v="Ananya Rao"/>
    <s v="Corporate"/>
    <x v="2"/>
    <s v="Desk Organizer"/>
    <n v="1"/>
    <n v="27.37"/>
    <n v="0.1"/>
    <n v="24.63"/>
    <n v="21.24"/>
    <n v="3.39"/>
    <s v="UPI"/>
  </r>
  <r>
    <s v="ORD-0048"/>
    <d v="2025-05-20T00:00:00"/>
    <x v="8"/>
    <x v="8"/>
    <x v="1"/>
    <s v="Mumbai"/>
    <s v="Aarav Sharma"/>
    <s v="Corporate"/>
    <x v="2"/>
    <s v="Desk Organizer"/>
    <n v="1"/>
    <n v="27.27"/>
    <n v="0.1"/>
    <n v="24.54"/>
    <n v="20.100000000000001"/>
    <n v="4.4400000000000004"/>
    <s v="Credit Card"/>
  </r>
  <r>
    <s v="ORD-0049"/>
    <d v="2025-02-12T00:00:00"/>
    <x v="1"/>
    <x v="1"/>
    <x v="2"/>
    <s v="Kolkata"/>
    <s v="Neha Das"/>
    <s v="Corporate"/>
    <x v="1"/>
    <s v="Filing Cabinet"/>
    <n v="1"/>
    <n v="210.33"/>
    <n v="0"/>
    <n v="210.33"/>
    <n v="125.79"/>
    <n v="84.54"/>
    <s v="Net Banking"/>
  </r>
  <r>
    <s v="ORD-0050"/>
    <d v="2025-07-14T00:00:00"/>
    <x v="5"/>
    <x v="5"/>
    <x v="3"/>
    <s v="Chandigarh"/>
    <s v="Ananya Rao"/>
    <s v="Small Business"/>
    <x v="2"/>
    <s v="Desk Organizer"/>
    <n v="2"/>
    <n v="25.7"/>
    <n v="0"/>
    <n v="51.4"/>
    <n v="38.28"/>
    <n v="13.12"/>
    <s v="Credit Card"/>
  </r>
  <r>
    <s v="ORD-0051"/>
    <d v="2025-11-30T00:00:00"/>
    <x v="0"/>
    <x v="0"/>
    <x v="4"/>
    <s v="Bengaluru"/>
    <s v="Neha Das"/>
    <s v="Small Business"/>
    <x v="0"/>
    <s v="Wireless Mouse"/>
    <n v="8"/>
    <n v="23.6"/>
    <n v="0"/>
    <n v="188.8"/>
    <n v="133.37"/>
    <n v="55.43"/>
    <s v="Credit Card"/>
  </r>
  <r>
    <s v="ORD-0052"/>
    <d v="2025-10-16T00:00:00"/>
    <x v="7"/>
    <x v="7"/>
    <x v="3"/>
    <s v="Delhi"/>
    <s v="Vikram Singh"/>
    <s v="Consumer"/>
    <x v="0"/>
    <s v="Headphones"/>
    <n v="4"/>
    <n v="85.5"/>
    <n v="0"/>
    <n v="342"/>
    <n v="240"/>
    <n v="102"/>
    <s v="Credit Card"/>
  </r>
  <r>
    <s v="ORD-0053"/>
    <d v="2025-06-09T00:00:00"/>
    <x v="9"/>
    <x v="9"/>
    <x v="4"/>
    <s v="Bengaluru"/>
    <s v="Vikram Singh"/>
    <s v="Small Business"/>
    <x v="1"/>
    <s v="Filing Cabinet"/>
    <n v="2"/>
    <n v="222.03"/>
    <n v="0"/>
    <n v="444.06"/>
    <n v="309.79000000000002"/>
    <n v="134.27000000000001"/>
    <s v="Credit Card"/>
  </r>
  <r>
    <s v="ORD-0054"/>
    <d v="2025-10-17T00:00:00"/>
    <x v="7"/>
    <x v="7"/>
    <x v="2"/>
    <s v="Kolkata"/>
    <s v="Karan Patel"/>
    <s v="Corporate"/>
    <x v="0"/>
    <s v="Monitor"/>
    <n v="3"/>
    <n v="230.02"/>
    <n v="0"/>
    <n v="690.06"/>
    <n v="463.57"/>
    <n v="226.49"/>
    <s v="Credit Card"/>
  </r>
  <r>
    <s v="ORD-0055"/>
    <d v="2025-08-10T00:00:00"/>
    <x v="10"/>
    <x v="10"/>
    <x v="2"/>
    <s v="Guwahati"/>
    <s v="Neha Das"/>
    <s v="Corporate"/>
    <x v="2"/>
    <s v="Desk Organizer"/>
    <n v="4"/>
    <n v="27.88"/>
    <n v="0.15"/>
    <n v="94.79"/>
    <n v="90.29"/>
    <n v="4.5"/>
    <s v="Debit Card"/>
  </r>
  <r>
    <s v="ORD-0056"/>
    <d v="2025-10-31T00:00:00"/>
    <x v="7"/>
    <x v="7"/>
    <x v="1"/>
    <s v="Mumbai"/>
    <s v="Neha Das"/>
    <s v="Small Business"/>
    <x v="2"/>
    <s v="Pens Set"/>
    <n v="5"/>
    <n v="10.83"/>
    <n v="0"/>
    <n v="54.15"/>
    <n v="32.69"/>
    <n v="21.46"/>
    <s v="Debit Card"/>
  </r>
  <r>
    <s v="ORD-0057"/>
    <d v="2025-06-22T00:00:00"/>
    <x v="9"/>
    <x v="9"/>
    <x v="2"/>
    <s v="Bhubaneswar"/>
    <s v="Vikram Singh"/>
    <s v="Small Business"/>
    <x v="0"/>
    <s v="Headphones"/>
    <n v="5"/>
    <n v="75.2"/>
    <n v="0"/>
    <n v="376"/>
    <n v="235.54"/>
    <n v="140.46"/>
    <s v="Net Banking"/>
  </r>
  <r>
    <s v="ORD-0058"/>
    <d v="2025-10-12T00:00:00"/>
    <x v="7"/>
    <x v="7"/>
    <x v="4"/>
    <s v="Hyderabad"/>
    <s v="Neha Das"/>
    <s v="Small Business"/>
    <x v="0"/>
    <s v="USB-C Hub"/>
    <n v="8"/>
    <n v="50.54"/>
    <n v="0.1"/>
    <n v="363.89"/>
    <n v="269.51"/>
    <n v="94.38"/>
    <s v="Debit Card"/>
  </r>
  <r>
    <s v="ORD-0059"/>
    <d v="2025-08-18T00:00:00"/>
    <x v="10"/>
    <x v="10"/>
    <x v="0"/>
    <s v="Indore"/>
    <s v="Neha Das"/>
    <s v="Small Business"/>
    <x v="0"/>
    <s v="Wireless Mouse"/>
    <n v="2"/>
    <n v="24.72"/>
    <n v="0"/>
    <n v="49.44"/>
    <n v="30.25"/>
    <n v="19.190000000000001"/>
    <s v="Net Banking"/>
  </r>
  <r>
    <s v="ORD-0060"/>
    <d v="2025-08-06T00:00:00"/>
    <x v="10"/>
    <x v="10"/>
    <x v="4"/>
    <s v="Bengaluru"/>
    <s v="Ananya Rao"/>
    <s v="Corporate"/>
    <x v="1"/>
    <s v="Desk Lamp"/>
    <n v="2"/>
    <n v="42.19"/>
    <n v="0.05"/>
    <n v="80.16"/>
    <n v="51.64"/>
    <n v="28.52"/>
    <s v="Credit Card"/>
  </r>
  <r>
    <s v="ORD-0061"/>
    <d v="2025-10-02T00:00:00"/>
    <x v="7"/>
    <x v="7"/>
    <x v="0"/>
    <s v="Nagpur"/>
    <s v="Vikram Singh"/>
    <s v="Consumer"/>
    <x v="1"/>
    <s v="Desk"/>
    <n v="1"/>
    <n v="340"/>
    <n v="0.05"/>
    <n v="323"/>
    <n v="250.71"/>
    <n v="72.290000000000006"/>
    <s v="UPI"/>
  </r>
  <r>
    <s v="ORD-0062"/>
    <d v="2025-06-01T00:00:00"/>
    <x v="9"/>
    <x v="9"/>
    <x v="3"/>
    <s v="Delhi"/>
    <s v="Vikram Singh"/>
    <s v="Small Business"/>
    <x v="0"/>
    <s v="Monitor"/>
    <n v="1"/>
    <n v="198.68"/>
    <n v="0.15"/>
    <n v="168.88"/>
    <n v="110.86"/>
    <n v="58.02"/>
    <s v="UPI"/>
  </r>
  <r>
    <s v="ORD-0063"/>
    <d v="2025-11-23T00:00:00"/>
    <x v="0"/>
    <x v="0"/>
    <x v="2"/>
    <s v="Kolkata"/>
    <s v="Aarav Sharma"/>
    <s v="Corporate"/>
    <x v="2"/>
    <s v="Notebook Pack"/>
    <n v="5"/>
    <n v="12.32"/>
    <n v="0.1"/>
    <n v="55.44"/>
    <n v="40.880000000000003"/>
    <n v="14.56"/>
    <s v="Debit Card"/>
  </r>
  <r>
    <s v="ORD-0064"/>
    <d v="2025-02-28T00:00:00"/>
    <x v="1"/>
    <x v="1"/>
    <x v="0"/>
    <s v="Indore"/>
    <s v="Priya Nair"/>
    <s v="Consumer"/>
    <x v="0"/>
    <s v="Headphones"/>
    <n v="3"/>
    <n v="82.16"/>
    <n v="0"/>
    <n v="246.48"/>
    <n v="139.38999999999999"/>
    <n v="107.09"/>
    <s v="Credit Card"/>
  </r>
  <r>
    <s v="ORD-0065"/>
    <d v="2025-10-13T00:00:00"/>
    <x v="7"/>
    <x v="7"/>
    <x v="1"/>
    <s v="Pune"/>
    <s v="Karan Patel"/>
    <s v="Corporate"/>
    <x v="2"/>
    <s v="Stapler"/>
    <n v="3"/>
    <n v="15.54"/>
    <n v="0.15"/>
    <n v="39.630000000000003"/>
    <n v="29.56"/>
    <n v="10.07"/>
    <s v="Credit Card"/>
  </r>
  <r>
    <s v="ORD-0066"/>
    <d v="2025-11-09T00:00:00"/>
    <x v="0"/>
    <x v="0"/>
    <x v="3"/>
    <s v="Delhi"/>
    <s v="Ananya Rao"/>
    <s v="Consumer"/>
    <x v="1"/>
    <s v="Office Chair"/>
    <n v="8"/>
    <n v="170.23"/>
    <n v="0"/>
    <n v="1361.84"/>
    <n v="816.28"/>
    <n v="545.55999999999995"/>
    <s v="Credit Card"/>
  </r>
  <r>
    <s v="ORD-0067"/>
    <d v="2025-03-22T00:00:00"/>
    <x v="4"/>
    <x v="4"/>
    <x v="2"/>
    <s v="Guwahati"/>
    <s v="Vikram Singh"/>
    <s v="Small Business"/>
    <x v="0"/>
    <s v="Headphones"/>
    <n v="2"/>
    <n v="82.45"/>
    <n v="0.05"/>
    <n v="156.66"/>
    <n v="87.36"/>
    <n v="69.3"/>
    <s v="Debit Card"/>
  </r>
  <r>
    <s v="ORD-0068"/>
    <d v="2025-02-06T00:00:00"/>
    <x v="1"/>
    <x v="1"/>
    <x v="4"/>
    <s v="Chennai"/>
    <s v="Priya Nair"/>
    <s v="Small Business"/>
    <x v="1"/>
    <s v="Desk"/>
    <n v="6"/>
    <n v="343.46"/>
    <n v="0.15"/>
    <n v="1751.65"/>
    <n v="1480.36"/>
    <n v="271.29000000000002"/>
    <s v="UPI"/>
  </r>
  <r>
    <s v="ORD-0069"/>
    <d v="2025-11-28T00:00:00"/>
    <x v="0"/>
    <x v="0"/>
    <x v="0"/>
    <s v="Nagpur"/>
    <s v="Vikram Singh"/>
    <s v="Corporate"/>
    <x v="0"/>
    <s v="Monitor"/>
    <n v="5"/>
    <n v="201.46"/>
    <n v="0"/>
    <n v="1007.3"/>
    <n v="763.32"/>
    <n v="243.98"/>
    <s v="Credit Card"/>
  </r>
  <r>
    <s v="ORD-0070"/>
    <d v="2025-08-28T00:00:00"/>
    <x v="10"/>
    <x v="10"/>
    <x v="1"/>
    <s v="Mumbai"/>
    <s v="Aarav Sharma"/>
    <s v="Corporate"/>
    <x v="1"/>
    <s v="Bookshelf"/>
    <n v="4"/>
    <n v="166.11"/>
    <n v="0.15"/>
    <n v="564.77"/>
    <n v="453.14"/>
    <n v="111.63"/>
    <s v="Net Banking"/>
  </r>
  <r>
    <s v="ORD-0071"/>
    <d v="2025-11-06T00:00:00"/>
    <x v="0"/>
    <x v="0"/>
    <x v="3"/>
    <s v="Jaipur"/>
    <s v="Vikram Singh"/>
    <s v="Small Business"/>
    <x v="2"/>
    <s v="Notebook Pack"/>
    <n v="1"/>
    <n v="13.34"/>
    <n v="0.15"/>
    <n v="11.34"/>
    <n v="9.2899999999999991"/>
    <n v="2.0499999999999998"/>
    <s v="Credit Card"/>
  </r>
  <r>
    <s v="ORD-0072"/>
    <d v="2025-03-31T00:00:00"/>
    <x v="4"/>
    <x v="4"/>
    <x v="1"/>
    <s v="Ahmedabad"/>
    <s v="Neha Das"/>
    <s v="Consumer"/>
    <x v="2"/>
    <s v="Stapler"/>
    <n v="3"/>
    <n v="16.52"/>
    <n v="0"/>
    <n v="49.56"/>
    <n v="40.590000000000003"/>
    <n v="8.9700000000000006"/>
    <s v="Debit Card"/>
  </r>
  <r>
    <s v="ORD-0073"/>
    <d v="2025-06-28T00:00:00"/>
    <x v="9"/>
    <x v="9"/>
    <x v="1"/>
    <s v="Pune"/>
    <s v="Karan Patel"/>
    <s v="Small Business"/>
    <x v="2"/>
    <s v="Pens Set"/>
    <n v="2"/>
    <n v="9.23"/>
    <n v="0"/>
    <n v="18.46"/>
    <n v="11.43"/>
    <n v="7.03"/>
    <s v="Credit Card"/>
  </r>
  <r>
    <s v="ORD-0074"/>
    <d v="2025-08-21T00:00:00"/>
    <x v="10"/>
    <x v="10"/>
    <x v="3"/>
    <s v="Jaipur"/>
    <s v="Neha Das"/>
    <s v="Corporate"/>
    <x v="0"/>
    <s v="Monitor"/>
    <n v="2"/>
    <n v="203.61"/>
    <n v="0.1"/>
    <n v="366.5"/>
    <n v="317.42"/>
    <n v="49.08"/>
    <s v="Credit Card"/>
  </r>
  <r>
    <s v="ORD-0075"/>
    <d v="2025-04-07T00:00:00"/>
    <x v="6"/>
    <x v="6"/>
    <x v="4"/>
    <s v="Chennai"/>
    <s v="Rohan Mehta"/>
    <s v="Corporate"/>
    <x v="1"/>
    <s v="Bookshelf"/>
    <n v="3"/>
    <n v="151.44999999999999"/>
    <n v="0.1"/>
    <n v="408.91"/>
    <n v="339.85"/>
    <n v="69.06"/>
    <s v="Debit Card"/>
  </r>
  <r>
    <s v="ORD-0076"/>
    <d v="2025-12-24T00:00:00"/>
    <x v="3"/>
    <x v="3"/>
    <x v="2"/>
    <s v="Guwahati"/>
    <s v="Aarav Sharma"/>
    <s v="Small Business"/>
    <x v="2"/>
    <s v="Notebook Pack"/>
    <n v="1"/>
    <n v="12.46"/>
    <n v="0"/>
    <n v="12.46"/>
    <n v="9.1300000000000008"/>
    <n v="3.33"/>
    <s v="Debit Card"/>
  </r>
  <r>
    <s v="ORD-0077"/>
    <d v="2025-02-17T00:00:00"/>
    <x v="1"/>
    <x v="1"/>
    <x v="2"/>
    <s v="Guwahati"/>
    <s v="Vikram Singh"/>
    <s v="Corporate"/>
    <x v="0"/>
    <s v="Wireless Mouse"/>
    <n v="2"/>
    <n v="23.15"/>
    <n v="0"/>
    <n v="46.3"/>
    <n v="31"/>
    <n v="15.3"/>
    <s v="Debit Card"/>
  </r>
  <r>
    <s v="ORD-0078"/>
    <d v="2025-08-30T00:00:00"/>
    <x v="10"/>
    <x v="10"/>
    <x v="4"/>
    <s v="Bengaluru"/>
    <s v="Vikram Singh"/>
    <s v="Corporate"/>
    <x v="0"/>
    <s v="Headphones"/>
    <n v="3"/>
    <n v="78.75"/>
    <n v="0.15"/>
    <n v="200.81"/>
    <n v="158.87"/>
    <n v="41.94"/>
    <s v="Net Banking"/>
  </r>
  <r>
    <s v="ORD-0079"/>
    <d v="2025-09-17T00:00:00"/>
    <x v="11"/>
    <x v="11"/>
    <x v="1"/>
    <s v="Mumbai"/>
    <s v="Neha Das"/>
    <s v="Small Business"/>
    <x v="2"/>
    <s v="Notebook Pack"/>
    <n v="2"/>
    <n v="11.59"/>
    <n v="0.15"/>
    <n v="19.7"/>
    <n v="16.09"/>
    <n v="3.61"/>
    <s v="Debit Card"/>
  </r>
  <r>
    <s v="ORD-0080"/>
    <d v="2025-06-26T00:00:00"/>
    <x v="9"/>
    <x v="9"/>
    <x v="4"/>
    <s v="Hyderabad"/>
    <s v="Karan Patel"/>
    <s v="Consumer"/>
    <x v="2"/>
    <s v="Stapler"/>
    <n v="4"/>
    <n v="14.74"/>
    <n v="0.05"/>
    <n v="56.01"/>
    <n v="46.04"/>
    <n v="9.9700000000000006"/>
    <s v="Debit Card"/>
  </r>
  <r>
    <s v="ORD-0081"/>
    <d v="2025-01-23T00:00:00"/>
    <x v="2"/>
    <x v="2"/>
    <x v="4"/>
    <s v="Chennai"/>
    <s v="Aarav Sharma"/>
    <s v="Consumer"/>
    <x v="2"/>
    <s v="Desk Organizer"/>
    <n v="4"/>
    <n v="30.2"/>
    <n v="0.1"/>
    <n v="108.72"/>
    <n v="98.64"/>
    <n v="10.08"/>
    <s v="Net Banking"/>
  </r>
  <r>
    <s v="ORD-0082"/>
    <d v="2025-02-21T00:00:00"/>
    <x v="1"/>
    <x v="1"/>
    <x v="4"/>
    <s v="Bengaluru"/>
    <s v="Neha Das"/>
    <s v="Corporate"/>
    <x v="2"/>
    <s v="Notebook Pack"/>
    <n v="3"/>
    <n v="12.01"/>
    <n v="0"/>
    <n v="36.03"/>
    <n v="23.17"/>
    <n v="12.86"/>
    <s v="Net Banking"/>
  </r>
  <r>
    <s v="ORD-0083"/>
    <d v="2025-11-16T00:00:00"/>
    <x v="0"/>
    <x v="0"/>
    <x v="2"/>
    <s v="Guwahati"/>
    <s v="Neha Das"/>
    <s v="Small Business"/>
    <x v="1"/>
    <s v="Filing Cabinet"/>
    <n v="3"/>
    <n v="228.35"/>
    <n v="0.15"/>
    <n v="582.29"/>
    <n v="434.32"/>
    <n v="147.97"/>
    <s v="Credit Card"/>
  </r>
  <r>
    <s v="ORD-0084"/>
    <d v="2025-11-13T00:00:00"/>
    <x v="0"/>
    <x v="0"/>
    <x v="1"/>
    <s v="Mumbai"/>
    <s v="Priya Nair"/>
    <s v="Corporate"/>
    <x v="0"/>
    <s v="Keyboard"/>
    <n v="3"/>
    <n v="49.62"/>
    <n v="0"/>
    <n v="148.86000000000001"/>
    <n v="110.76"/>
    <n v="38.1"/>
    <s v="UPI"/>
  </r>
  <r>
    <s v="ORD-0085"/>
    <d v="2025-12-22T00:00:00"/>
    <x v="3"/>
    <x v="3"/>
    <x v="1"/>
    <s v="Mumbai"/>
    <s v="Ananya Rao"/>
    <s v="Small Business"/>
    <x v="2"/>
    <s v="Notebook Pack"/>
    <n v="1"/>
    <n v="12.9"/>
    <n v="0.05"/>
    <n v="12.25"/>
    <n v="8.1"/>
    <n v="4.1500000000000004"/>
    <s v="Debit Card"/>
  </r>
  <r>
    <s v="ORD-0086"/>
    <d v="2025-10-17T00:00:00"/>
    <x v="7"/>
    <x v="7"/>
    <x v="4"/>
    <s v="Chennai"/>
    <s v="Rohan Mehta"/>
    <s v="Consumer"/>
    <x v="1"/>
    <s v="Desk"/>
    <n v="1"/>
    <n v="293.56"/>
    <n v="0.1"/>
    <n v="264.2"/>
    <n v="207.23"/>
    <n v="56.97"/>
    <s v="Debit Card"/>
  </r>
  <r>
    <s v="ORD-0087"/>
    <d v="2025-11-23T00:00:00"/>
    <x v="0"/>
    <x v="0"/>
    <x v="0"/>
    <s v="Bhopal"/>
    <s v="Priya Nair"/>
    <s v="Corporate"/>
    <x v="2"/>
    <s v="Desk Organizer"/>
    <n v="2"/>
    <n v="25.26"/>
    <n v="0.1"/>
    <n v="45.47"/>
    <n v="39.93"/>
    <n v="5.54"/>
    <s v="Net Banking"/>
  </r>
  <r>
    <s v="ORD-0088"/>
    <d v="2025-10-28T00:00:00"/>
    <x v="7"/>
    <x v="7"/>
    <x v="1"/>
    <s v="Pune"/>
    <s v="Priya Nair"/>
    <s v="Consumer"/>
    <x v="2"/>
    <s v="Desk Organizer"/>
    <n v="4"/>
    <n v="28.01"/>
    <n v="0.05"/>
    <n v="106.44"/>
    <n v="64.959999999999994"/>
    <n v="41.48"/>
    <s v="Debit Card"/>
  </r>
  <r>
    <s v="ORD-0089"/>
    <d v="2025-10-20T00:00:00"/>
    <x v="7"/>
    <x v="7"/>
    <x v="1"/>
    <s v="Pune"/>
    <s v="Aarav Sharma"/>
    <s v="Small Business"/>
    <x v="2"/>
    <s v="Stapler"/>
    <n v="2"/>
    <n v="15.81"/>
    <n v="0"/>
    <n v="31.62"/>
    <n v="25.72"/>
    <n v="5.9"/>
    <s v="Credit Card"/>
  </r>
  <r>
    <s v="ORD-0090"/>
    <d v="2025-11-07T00:00:00"/>
    <x v="0"/>
    <x v="0"/>
    <x v="2"/>
    <s v="Kolkata"/>
    <s v="Ananya Rao"/>
    <s v="Small Business"/>
    <x v="1"/>
    <s v="Filing Cabinet"/>
    <n v="5"/>
    <n v="230.72"/>
    <n v="0"/>
    <n v="1153.5999999999999"/>
    <n v="809.97"/>
    <n v="343.63"/>
    <s v="Net Banking"/>
  </r>
  <r>
    <s v="ORD-0091"/>
    <d v="2025-12-14T00:00:00"/>
    <x v="3"/>
    <x v="3"/>
    <x v="1"/>
    <s v="Mumbai"/>
    <s v="Meera Iyer"/>
    <s v="Small Business"/>
    <x v="1"/>
    <s v="Desk"/>
    <n v="3"/>
    <n v="351.6"/>
    <n v="0"/>
    <n v="1054.8"/>
    <n v="646.25"/>
    <n v="408.55"/>
    <s v="UPI"/>
  </r>
  <r>
    <s v="ORD-0092"/>
    <d v="2025-02-16T00:00:00"/>
    <x v="1"/>
    <x v="1"/>
    <x v="2"/>
    <s v="Guwahati"/>
    <s v="Vikram Singh"/>
    <s v="Consumer"/>
    <x v="2"/>
    <s v="Pens Set"/>
    <n v="4"/>
    <n v="9.39"/>
    <n v="0"/>
    <n v="37.56"/>
    <n v="28.39"/>
    <n v="9.17"/>
    <s v="Net Banking"/>
  </r>
  <r>
    <s v="ORD-0093"/>
    <d v="2025-09-04T00:00:00"/>
    <x v="11"/>
    <x v="11"/>
    <x v="4"/>
    <s v="Hyderabad"/>
    <s v="Karan Patel"/>
    <s v="Small Business"/>
    <x v="2"/>
    <s v="Pens Set"/>
    <n v="5"/>
    <n v="10.029999999999999"/>
    <n v="0"/>
    <n v="50.15"/>
    <n v="28.2"/>
    <n v="21.95"/>
    <s v="Net Banking"/>
  </r>
  <r>
    <s v="ORD-0094"/>
    <d v="2025-02-16T00:00:00"/>
    <x v="1"/>
    <x v="1"/>
    <x v="2"/>
    <s v="Guwahati"/>
    <s v="Karan Patel"/>
    <s v="Small Business"/>
    <x v="2"/>
    <s v="Notebook Pack"/>
    <n v="2"/>
    <n v="11.13"/>
    <n v="0.05"/>
    <n v="21.15"/>
    <n v="16.07"/>
    <n v="5.08"/>
    <s v="Net Banking"/>
  </r>
  <r>
    <s v="ORD-0095"/>
    <d v="2025-02-25T00:00:00"/>
    <x v="1"/>
    <x v="1"/>
    <x v="0"/>
    <s v="Bhopal"/>
    <s v="Priya Nair"/>
    <s v="Small Business"/>
    <x v="1"/>
    <s v="Desk"/>
    <n v="2"/>
    <n v="331.62"/>
    <n v="0.15"/>
    <n v="563.75"/>
    <n v="410.15"/>
    <n v="153.6"/>
    <s v="Debit Card"/>
  </r>
  <r>
    <s v="ORD-0096"/>
    <d v="2025-12-25T00:00:00"/>
    <x v="3"/>
    <x v="3"/>
    <x v="1"/>
    <s v="Mumbai"/>
    <s v="Priya Nair"/>
    <s v="Consumer"/>
    <x v="2"/>
    <s v="Desk Organizer"/>
    <n v="1"/>
    <n v="25.48"/>
    <n v="0"/>
    <n v="25.48"/>
    <n v="15.58"/>
    <n v="9.9"/>
    <s v="UPI"/>
  </r>
  <r>
    <s v="ORD-0097"/>
    <d v="2025-07-18T00:00:00"/>
    <x v="5"/>
    <x v="5"/>
    <x v="4"/>
    <s v="Chennai"/>
    <s v="Priya Nair"/>
    <s v="Corporate"/>
    <x v="2"/>
    <s v="Pens Set"/>
    <n v="4"/>
    <n v="10.63"/>
    <n v="0.15"/>
    <n v="36.14"/>
    <n v="27.46"/>
    <n v="8.68"/>
    <s v="Debit Card"/>
  </r>
  <r>
    <s v="ORD-0098"/>
    <d v="2025-05-24T00:00:00"/>
    <x v="8"/>
    <x v="8"/>
    <x v="3"/>
    <s v="Jaipur"/>
    <s v="Meera Iyer"/>
    <s v="Small Business"/>
    <x v="0"/>
    <s v="Monitor"/>
    <n v="1"/>
    <n v="219.52"/>
    <n v="0"/>
    <n v="219.52"/>
    <n v="170.49"/>
    <n v="49.03"/>
    <s v="Net Banking"/>
  </r>
  <r>
    <s v="ORD-0099"/>
    <d v="2025-02-01T00:00:00"/>
    <x v="1"/>
    <x v="1"/>
    <x v="4"/>
    <s v="Hyderabad"/>
    <s v="Aarav Sharma"/>
    <s v="Consumer"/>
    <x v="2"/>
    <s v="Pens Set"/>
    <n v="1"/>
    <n v="9.27"/>
    <n v="0.1"/>
    <n v="8.34"/>
    <n v="5.08"/>
    <n v="3.26"/>
    <s v="Net Banking"/>
  </r>
  <r>
    <s v="ORD-0100"/>
    <d v="2025-05-05T00:00:00"/>
    <x v="8"/>
    <x v="8"/>
    <x v="4"/>
    <s v="Bengaluru"/>
    <s v="Meera Iyer"/>
    <s v="Consumer"/>
    <x v="0"/>
    <s v="USB-C Hub"/>
    <n v="1"/>
    <n v="59.54"/>
    <n v="0.15"/>
    <n v="50.61"/>
    <n v="34.659999999999997"/>
    <n v="15.95"/>
    <s v="Credit Card"/>
  </r>
  <r>
    <s v="ORD-0101"/>
    <d v="2025-05-22T00:00:00"/>
    <x v="8"/>
    <x v="8"/>
    <x v="3"/>
    <s v="Delhi"/>
    <s v="Aarav Sharma"/>
    <s v="Corporate"/>
    <x v="0"/>
    <s v="Keyboard"/>
    <n v="3"/>
    <n v="48.41"/>
    <n v="0"/>
    <n v="145.22999999999999"/>
    <n v="104.32"/>
    <n v="40.909999999999997"/>
    <s v="UPI"/>
  </r>
  <r>
    <s v="ORD-0102"/>
    <d v="2025-10-29T00:00:00"/>
    <x v="7"/>
    <x v="7"/>
    <x v="3"/>
    <s v="Chandigarh"/>
    <s v="Neha Das"/>
    <s v="Corporate"/>
    <x v="2"/>
    <s v="Notebook Pack"/>
    <n v="1"/>
    <n v="10.94"/>
    <n v="0.1"/>
    <n v="9.85"/>
    <n v="7.42"/>
    <n v="2.4300000000000002"/>
    <s v="Credit Card"/>
  </r>
  <r>
    <s v="ORD-0103"/>
    <d v="2025-08-20T00:00:00"/>
    <x v="10"/>
    <x v="10"/>
    <x v="3"/>
    <s v="Delhi"/>
    <s v="Neha Das"/>
    <s v="Corporate"/>
    <x v="1"/>
    <s v="Desk"/>
    <n v="8"/>
    <n v="291.05"/>
    <n v="0.15"/>
    <n v="1979.14"/>
    <n v="1421.46"/>
    <n v="557.67999999999995"/>
    <s v="Debit Card"/>
  </r>
  <r>
    <s v="ORD-0104"/>
    <d v="2025-12-18T00:00:00"/>
    <x v="3"/>
    <x v="3"/>
    <x v="4"/>
    <s v="Bengaluru"/>
    <s v="Rohan Mehta"/>
    <s v="Corporate"/>
    <x v="0"/>
    <s v="Headphones"/>
    <n v="4"/>
    <n v="79.81"/>
    <n v="0"/>
    <n v="319.24"/>
    <n v="196.85"/>
    <n v="122.39"/>
    <s v="Net Banking"/>
  </r>
  <r>
    <s v="ORD-0105"/>
    <d v="2025-07-15T00:00:00"/>
    <x v="5"/>
    <x v="5"/>
    <x v="3"/>
    <s v="Jaipur"/>
    <s v="Ananya Rao"/>
    <s v="Corporate"/>
    <x v="1"/>
    <s v="Desk Lamp"/>
    <n v="2"/>
    <n v="40.450000000000003"/>
    <n v="0.1"/>
    <n v="72.81"/>
    <n v="44.48"/>
    <n v="28.33"/>
    <s v="Debit Card"/>
  </r>
  <r>
    <s v="ORD-0106"/>
    <d v="2025-04-27T00:00:00"/>
    <x v="6"/>
    <x v="6"/>
    <x v="2"/>
    <s v="Guwahati"/>
    <s v="Vikram Singh"/>
    <s v="Corporate"/>
    <x v="2"/>
    <s v="Pens Set"/>
    <n v="5"/>
    <n v="9.8800000000000008"/>
    <n v="0"/>
    <n v="49.4"/>
    <n v="30.32"/>
    <n v="19.079999999999998"/>
    <s v="UPI"/>
  </r>
  <r>
    <s v="ORD-0107"/>
    <d v="2025-12-18T00:00:00"/>
    <x v="3"/>
    <x v="3"/>
    <x v="2"/>
    <s v="Kolkata"/>
    <s v="Aarav Sharma"/>
    <s v="Small Business"/>
    <x v="2"/>
    <s v="Notebook Pack"/>
    <n v="1"/>
    <n v="11.03"/>
    <n v="0.1"/>
    <n v="9.93"/>
    <n v="6.06"/>
    <n v="3.87"/>
    <s v="Net Banking"/>
  </r>
  <r>
    <s v="ORD-0108"/>
    <d v="2025-12-10T00:00:00"/>
    <x v="3"/>
    <x v="3"/>
    <x v="3"/>
    <s v="Chandigarh"/>
    <s v="Vikram Singh"/>
    <s v="Corporate"/>
    <x v="0"/>
    <s v="Headphones"/>
    <n v="2"/>
    <n v="83.71"/>
    <n v="0.1"/>
    <n v="150.68"/>
    <n v="130.66"/>
    <n v="20.02"/>
    <s v="Credit Card"/>
  </r>
  <r>
    <s v="ORD-0109"/>
    <d v="2025-10-23T00:00:00"/>
    <x v="7"/>
    <x v="7"/>
    <x v="0"/>
    <s v="Indore"/>
    <s v="Priya Nair"/>
    <s v="Corporate"/>
    <x v="1"/>
    <s v="Desk"/>
    <n v="1"/>
    <n v="321.95"/>
    <n v="0"/>
    <n v="321.95"/>
    <n v="201.23"/>
    <n v="120.72"/>
    <s v="UPI"/>
  </r>
  <r>
    <s v="ORD-0110"/>
    <d v="2025-08-08T00:00:00"/>
    <x v="10"/>
    <x v="10"/>
    <x v="2"/>
    <s v="Kolkata"/>
    <s v="Rohan Mehta"/>
    <s v="Corporate"/>
    <x v="1"/>
    <s v="Desk Lamp"/>
    <n v="3"/>
    <n v="41.66"/>
    <n v="0"/>
    <n v="124.98"/>
    <n v="87.82"/>
    <n v="37.159999999999997"/>
    <s v="Net Banking"/>
  </r>
  <r>
    <s v="ORD-0111"/>
    <d v="2025-06-23T00:00:00"/>
    <x v="9"/>
    <x v="9"/>
    <x v="3"/>
    <s v="Delhi"/>
    <s v="Ananya Rao"/>
    <s v="Corporate"/>
    <x v="2"/>
    <s v="Notebook Pack"/>
    <n v="1"/>
    <n v="11.18"/>
    <n v="0.1"/>
    <n v="10.06"/>
    <n v="6.05"/>
    <n v="4.01"/>
    <s v="Debit Card"/>
  </r>
  <r>
    <s v="ORD-0112"/>
    <d v="2025-08-21T00:00:00"/>
    <x v="10"/>
    <x v="10"/>
    <x v="3"/>
    <s v="Delhi"/>
    <s v="Rohan Mehta"/>
    <s v="Small Business"/>
    <x v="2"/>
    <s v="Printer Paper"/>
    <n v="2"/>
    <n v="8.4700000000000006"/>
    <n v="0.15"/>
    <n v="14.4"/>
    <n v="11.84"/>
    <n v="2.56"/>
    <s v="Credit Card"/>
  </r>
  <r>
    <s v="ORD-0113"/>
    <d v="2025-12-12T00:00:00"/>
    <x v="3"/>
    <x v="3"/>
    <x v="2"/>
    <s v="Kolkata"/>
    <s v="Priya Nair"/>
    <s v="Corporate"/>
    <x v="0"/>
    <s v="Monitor"/>
    <n v="2"/>
    <n v="218.52"/>
    <n v="0.15"/>
    <n v="371.48"/>
    <n v="285.22000000000003"/>
    <n v="86.26"/>
    <s v="Debit Card"/>
  </r>
  <r>
    <s v="ORD-0114"/>
    <d v="2025-02-26T00:00:00"/>
    <x v="1"/>
    <x v="1"/>
    <x v="0"/>
    <s v="Bhopal"/>
    <s v="Aarav Sharma"/>
    <s v="Consumer"/>
    <x v="2"/>
    <s v="Stapler"/>
    <n v="2"/>
    <n v="15.7"/>
    <n v="0"/>
    <n v="31.4"/>
    <n v="18.41"/>
    <n v="12.99"/>
    <s v="Net Banking"/>
  </r>
  <r>
    <s v="ORD-0115"/>
    <d v="2025-04-19T00:00:00"/>
    <x v="6"/>
    <x v="6"/>
    <x v="4"/>
    <s v="Bengaluru"/>
    <s v="Karan Patel"/>
    <s v="Small Business"/>
    <x v="0"/>
    <s v="Monitor"/>
    <n v="2"/>
    <n v="203.81"/>
    <n v="0.1"/>
    <n v="366.86"/>
    <n v="303.31"/>
    <n v="63.55"/>
    <s v="UPI"/>
  </r>
  <r>
    <s v="ORD-0116"/>
    <d v="2025-09-14T00:00:00"/>
    <x v="11"/>
    <x v="11"/>
    <x v="1"/>
    <s v="Mumbai"/>
    <s v="Meera Iyer"/>
    <s v="Small Business"/>
    <x v="1"/>
    <s v="Bookshelf"/>
    <n v="1"/>
    <n v="163.44"/>
    <n v="0"/>
    <n v="163.44"/>
    <n v="106.38"/>
    <n v="57.06"/>
    <s v="Debit Card"/>
  </r>
  <r>
    <s v="ORD-0117"/>
    <d v="2025-10-21T00:00:00"/>
    <x v="7"/>
    <x v="7"/>
    <x v="0"/>
    <s v="Indore"/>
    <s v="Meera Iyer"/>
    <s v="Consumer"/>
    <x v="2"/>
    <s v="Desk Organizer"/>
    <n v="2"/>
    <n v="27.69"/>
    <n v="0.05"/>
    <n v="52.61"/>
    <n v="31.65"/>
    <n v="20.96"/>
    <s v="Debit Card"/>
  </r>
  <r>
    <s v="ORD-0118"/>
    <d v="2025-02-24T00:00:00"/>
    <x v="1"/>
    <x v="1"/>
    <x v="2"/>
    <s v="Kolkata"/>
    <s v="Meera Iyer"/>
    <s v="Consumer"/>
    <x v="0"/>
    <s v="Headphones"/>
    <n v="3"/>
    <n v="81.22"/>
    <n v="0.1"/>
    <n v="219.29"/>
    <n v="190.34"/>
    <n v="28.95"/>
    <s v="Credit Card"/>
  </r>
  <r>
    <s v="ORD-0119"/>
    <d v="2025-09-19T00:00:00"/>
    <x v="11"/>
    <x v="11"/>
    <x v="4"/>
    <s v="Bengaluru"/>
    <s v="Priya Nair"/>
    <s v="Consumer"/>
    <x v="1"/>
    <s v="Office Chair"/>
    <n v="3"/>
    <n v="169.68"/>
    <n v="0.05"/>
    <n v="483.59"/>
    <n v="318.32"/>
    <n v="165.27"/>
    <s v="Net Banking"/>
  </r>
  <r>
    <s v="ORD-0120"/>
    <d v="2025-04-12T00:00:00"/>
    <x v="6"/>
    <x v="6"/>
    <x v="1"/>
    <s v="Pune"/>
    <s v="Neha Das"/>
    <s v="Small Business"/>
    <x v="0"/>
    <s v="USB-C Hub"/>
    <n v="1"/>
    <n v="58.69"/>
    <n v="0"/>
    <n v="58.69"/>
    <n v="33.64"/>
    <n v="25.05"/>
    <s v="Net Banking"/>
  </r>
  <r>
    <s v="ORD-0121"/>
    <d v="2025-11-18T00:00:00"/>
    <x v="0"/>
    <x v="0"/>
    <x v="0"/>
    <s v="Bhopal"/>
    <s v="Meera Iyer"/>
    <s v="Small Business"/>
    <x v="2"/>
    <s v="Printer Paper"/>
    <n v="2"/>
    <n v="8.0299999999999994"/>
    <n v="0.05"/>
    <n v="15.26"/>
    <n v="12.19"/>
    <n v="3.07"/>
    <s v="Credit Card"/>
  </r>
  <r>
    <s v="ORD-0122"/>
    <d v="2025-06-08T00:00:00"/>
    <x v="9"/>
    <x v="9"/>
    <x v="3"/>
    <s v="Jaipur"/>
    <s v="Karan Patel"/>
    <s v="Corporate"/>
    <x v="2"/>
    <s v="Desk Organizer"/>
    <n v="1"/>
    <n v="27.47"/>
    <n v="0.05"/>
    <n v="26.1"/>
    <n v="14.92"/>
    <n v="11.18"/>
    <s v="Credit Card"/>
  </r>
  <r>
    <s v="ORD-0123"/>
    <d v="2025-08-19T00:00:00"/>
    <x v="10"/>
    <x v="10"/>
    <x v="1"/>
    <s v="Mumbai"/>
    <s v="Meera Iyer"/>
    <s v="Small Business"/>
    <x v="1"/>
    <s v="Desk"/>
    <n v="2"/>
    <n v="321.48"/>
    <n v="0"/>
    <n v="642.96"/>
    <n v="519.07000000000005"/>
    <n v="123.89"/>
    <s v="Credit Card"/>
  </r>
  <r>
    <s v="ORD-0124"/>
    <d v="2025-09-16T00:00:00"/>
    <x v="11"/>
    <x v="11"/>
    <x v="0"/>
    <s v="Bhopal"/>
    <s v="Meera Iyer"/>
    <s v="Corporate"/>
    <x v="1"/>
    <s v="Desk"/>
    <n v="1"/>
    <n v="337.82"/>
    <n v="0.1"/>
    <n v="304.04000000000002"/>
    <n v="228.78"/>
    <n v="75.260000000000005"/>
    <s v="Net Banking"/>
  </r>
  <r>
    <s v="ORD-0125"/>
    <d v="2025-07-18T00:00:00"/>
    <x v="5"/>
    <x v="5"/>
    <x v="3"/>
    <s v="Jaipur"/>
    <s v="Karan Patel"/>
    <s v="Corporate"/>
    <x v="2"/>
    <s v="Pens Set"/>
    <n v="4"/>
    <n v="9.1199999999999992"/>
    <n v="0.05"/>
    <n v="34.659999999999997"/>
    <n v="19.690000000000001"/>
    <n v="14.97"/>
    <s v="Net Banking"/>
  </r>
  <r>
    <s v="ORD-0126"/>
    <d v="2025-12-03T00:00:00"/>
    <x v="3"/>
    <x v="3"/>
    <x v="2"/>
    <s v="Guwahati"/>
    <s v="Karan Patel"/>
    <s v="Consumer"/>
    <x v="1"/>
    <s v="Desk"/>
    <n v="2"/>
    <n v="329.02"/>
    <n v="0"/>
    <n v="658.04"/>
    <n v="523.16"/>
    <n v="134.88"/>
    <s v="Credit Card"/>
  </r>
  <r>
    <s v="ORD-0127"/>
    <d v="2025-06-08T00:00:00"/>
    <x v="9"/>
    <x v="9"/>
    <x v="0"/>
    <s v="Bhopal"/>
    <s v="Karan Patel"/>
    <s v="Small Business"/>
    <x v="1"/>
    <s v="Filing Cabinet"/>
    <n v="3"/>
    <n v="204.18"/>
    <n v="0"/>
    <n v="612.54"/>
    <n v="441.66"/>
    <n v="170.88"/>
    <s v="Net Banking"/>
  </r>
  <r>
    <s v="ORD-0128"/>
    <d v="2025-01-10T00:00:00"/>
    <x v="2"/>
    <x v="2"/>
    <x v="4"/>
    <s v="Bengaluru"/>
    <s v="Priya Nair"/>
    <s v="Corporate"/>
    <x v="2"/>
    <s v="Pens Set"/>
    <n v="1"/>
    <n v="9.4700000000000006"/>
    <n v="0.1"/>
    <n v="8.52"/>
    <n v="5.47"/>
    <n v="3.05"/>
    <s v="Credit Card"/>
  </r>
  <r>
    <s v="ORD-0129"/>
    <d v="2025-09-17T00:00:00"/>
    <x v="11"/>
    <x v="11"/>
    <x v="1"/>
    <s v="Mumbai"/>
    <s v="Rohan Mehta"/>
    <s v="Consumer"/>
    <x v="1"/>
    <s v="Desk Lamp"/>
    <n v="1"/>
    <n v="38.96"/>
    <n v="0.15"/>
    <n v="33.119999999999997"/>
    <n v="21.79"/>
    <n v="11.33"/>
    <s v="UPI"/>
  </r>
  <r>
    <s v="ORD-0130"/>
    <d v="2025-08-13T00:00:00"/>
    <x v="10"/>
    <x v="10"/>
    <x v="1"/>
    <s v="Mumbai"/>
    <s v="Ananya Rao"/>
    <s v="Corporate"/>
    <x v="0"/>
    <s v="Headphones"/>
    <n v="2"/>
    <n v="84.66"/>
    <n v="0.1"/>
    <n v="152.38999999999999"/>
    <n v="119.06"/>
    <n v="33.33"/>
    <s v="Debit Card"/>
  </r>
  <r>
    <s v="ORD-0131"/>
    <d v="2025-04-10T00:00:00"/>
    <x v="6"/>
    <x v="6"/>
    <x v="0"/>
    <s v="Nagpur"/>
    <s v="Karan Patel"/>
    <s v="Consumer"/>
    <x v="2"/>
    <s v="Stapler"/>
    <n v="10"/>
    <n v="15.02"/>
    <n v="0.05"/>
    <n v="142.69"/>
    <n v="113.17"/>
    <n v="29.52"/>
    <s v="UPI"/>
  </r>
  <r>
    <s v="ORD-0132"/>
    <d v="2025-11-06T00:00:00"/>
    <x v="0"/>
    <x v="0"/>
    <x v="3"/>
    <s v="Jaipur"/>
    <s v="Priya Nair"/>
    <s v="Corporate"/>
    <x v="0"/>
    <s v="Monitor"/>
    <n v="1"/>
    <n v="221.26"/>
    <n v="0.05"/>
    <n v="210.2"/>
    <n v="151.86000000000001"/>
    <n v="58.34"/>
    <s v="Credit Card"/>
  </r>
  <r>
    <s v="ORD-0133"/>
    <d v="2025-03-24T00:00:00"/>
    <x v="4"/>
    <x v="4"/>
    <x v="4"/>
    <s v="Chennai"/>
    <s v="Meera Iyer"/>
    <s v="Consumer"/>
    <x v="2"/>
    <s v="Desk Organizer"/>
    <n v="6"/>
    <n v="26.11"/>
    <n v="0.1"/>
    <n v="140.99"/>
    <n v="85.77"/>
    <n v="55.22"/>
    <s v="Debit Card"/>
  </r>
  <r>
    <s v="ORD-0134"/>
    <d v="2025-01-28T00:00:00"/>
    <x v="2"/>
    <x v="2"/>
    <x v="3"/>
    <s v="Chandigarh"/>
    <s v="Priya Nair"/>
    <s v="Small Business"/>
    <x v="2"/>
    <s v="Stapler"/>
    <n v="2"/>
    <n v="14.77"/>
    <n v="0"/>
    <n v="29.54"/>
    <n v="18.68"/>
    <n v="10.86"/>
    <s v="Net Banking"/>
  </r>
  <r>
    <s v="ORD-0135"/>
    <d v="2025-03-16T00:00:00"/>
    <x v="4"/>
    <x v="4"/>
    <x v="1"/>
    <s v="Pune"/>
    <s v="Aarav Sharma"/>
    <s v="Consumer"/>
    <x v="0"/>
    <s v="Wireless Mouse"/>
    <n v="2"/>
    <n v="27.06"/>
    <n v="0"/>
    <n v="54.12"/>
    <n v="40.46"/>
    <n v="13.66"/>
    <s v="Credit Card"/>
  </r>
  <r>
    <s v="ORD-0136"/>
    <d v="2025-05-12T00:00:00"/>
    <x v="8"/>
    <x v="8"/>
    <x v="2"/>
    <s v="Kolkata"/>
    <s v="Vikram Singh"/>
    <s v="Consumer"/>
    <x v="0"/>
    <s v="Keyboard"/>
    <n v="3"/>
    <n v="47.7"/>
    <n v="0.15"/>
    <n v="121.64"/>
    <n v="92.58"/>
    <n v="29.06"/>
    <s v="Credit Card"/>
  </r>
  <r>
    <s v="ORD-0137"/>
    <d v="2025-05-03T00:00:00"/>
    <x v="8"/>
    <x v="8"/>
    <x v="3"/>
    <s v="Jaipur"/>
    <s v="Ananya Rao"/>
    <s v="Small Business"/>
    <x v="2"/>
    <s v="Stapler"/>
    <n v="2"/>
    <n v="13.87"/>
    <n v="0.1"/>
    <n v="24.97"/>
    <n v="19.39"/>
    <n v="5.58"/>
    <s v="UPI"/>
  </r>
  <r>
    <s v="ORD-0138"/>
    <d v="2025-05-30T00:00:00"/>
    <x v="8"/>
    <x v="8"/>
    <x v="3"/>
    <s v="Jaipur"/>
    <s v="Meera Iyer"/>
    <s v="Consumer"/>
    <x v="2"/>
    <s v="Notebook Pack"/>
    <n v="3"/>
    <n v="11.44"/>
    <n v="0.1"/>
    <n v="30.89"/>
    <n v="19.77"/>
    <n v="11.12"/>
    <s v="Credit Card"/>
  </r>
  <r>
    <s v="ORD-0139"/>
    <d v="2025-07-19T00:00:00"/>
    <x v="5"/>
    <x v="5"/>
    <x v="2"/>
    <s v="Kolkata"/>
    <s v="Meera Iyer"/>
    <s v="Consumer"/>
    <x v="2"/>
    <s v="Notebook Pack"/>
    <n v="3"/>
    <n v="13.39"/>
    <n v="0.05"/>
    <n v="38.159999999999997"/>
    <n v="29.89"/>
    <n v="8.27"/>
    <s v="Credit Card"/>
  </r>
  <r>
    <s v="ORD-0140"/>
    <d v="2025-10-25T00:00:00"/>
    <x v="7"/>
    <x v="7"/>
    <x v="4"/>
    <s v="Hyderabad"/>
    <s v="Neha Das"/>
    <s v="Small Business"/>
    <x v="1"/>
    <s v="Bookshelf"/>
    <n v="1"/>
    <n v="146.63"/>
    <n v="0.05"/>
    <n v="139.30000000000001"/>
    <n v="112.03"/>
    <n v="27.27"/>
    <s v="Debit Card"/>
  </r>
  <r>
    <s v="ORD-0141"/>
    <d v="2025-11-20T00:00:00"/>
    <x v="0"/>
    <x v="0"/>
    <x v="4"/>
    <s v="Bengaluru"/>
    <s v="Ananya Rao"/>
    <s v="Consumer"/>
    <x v="0"/>
    <s v="Keyboard"/>
    <n v="1"/>
    <n v="48.18"/>
    <n v="0.1"/>
    <n v="43.36"/>
    <n v="25.59"/>
    <n v="17.77"/>
    <s v="Net Banking"/>
  </r>
  <r>
    <s v="ORD-0142"/>
    <d v="2025-06-08T00:00:00"/>
    <x v="9"/>
    <x v="9"/>
    <x v="4"/>
    <s v="Chennai"/>
    <s v="Meera Iyer"/>
    <s v="Consumer"/>
    <x v="1"/>
    <s v="Filing Cabinet"/>
    <n v="10"/>
    <n v="214.09"/>
    <n v="0.05"/>
    <n v="2033.86"/>
    <n v="1136.79"/>
    <n v="897.07"/>
    <s v="Net Banking"/>
  </r>
  <r>
    <s v="ORD-0143"/>
    <d v="2025-05-20T00:00:00"/>
    <x v="8"/>
    <x v="8"/>
    <x v="1"/>
    <s v="Pune"/>
    <s v="Rohan Mehta"/>
    <s v="Corporate"/>
    <x v="0"/>
    <s v="Monitor"/>
    <n v="2"/>
    <n v="217.36"/>
    <n v="0.1"/>
    <n v="391.25"/>
    <n v="342.73"/>
    <n v="48.52"/>
    <s v="Debit Card"/>
  </r>
  <r>
    <s v="ORD-0144"/>
    <d v="2025-07-08T00:00:00"/>
    <x v="5"/>
    <x v="5"/>
    <x v="4"/>
    <s v="Hyderabad"/>
    <s v="Vikram Singh"/>
    <s v="Corporate"/>
    <x v="1"/>
    <s v="Bookshelf"/>
    <n v="5"/>
    <n v="158.99"/>
    <n v="0"/>
    <n v="794.95"/>
    <n v="516.07000000000005"/>
    <n v="278.88"/>
    <s v="Credit Card"/>
  </r>
  <r>
    <s v="ORD-0145"/>
    <d v="2025-02-10T00:00:00"/>
    <x v="1"/>
    <x v="1"/>
    <x v="1"/>
    <s v="Pune"/>
    <s v="Neha Das"/>
    <s v="Consumer"/>
    <x v="2"/>
    <s v="Pens Set"/>
    <n v="2"/>
    <n v="10.33"/>
    <n v="0.1"/>
    <n v="18.59"/>
    <n v="11.78"/>
    <n v="6.81"/>
    <s v="Net Banking"/>
  </r>
  <r>
    <s v="ORD-0146"/>
    <d v="2025-11-11T00:00:00"/>
    <x v="0"/>
    <x v="0"/>
    <x v="1"/>
    <s v="Pune"/>
    <s v="Rohan Mehta"/>
    <s v="Consumer"/>
    <x v="2"/>
    <s v="Pens Set"/>
    <n v="3"/>
    <n v="10.74"/>
    <n v="0"/>
    <n v="32.22"/>
    <n v="17.48"/>
    <n v="14.74"/>
    <s v="UPI"/>
  </r>
  <r>
    <s v="ORD-0147"/>
    <d v="2025-11-08T00:00:00"/>
    <x v="0"/>
    <x v="0"/>
    <x v="0"/>
    <s v="Bhopal"/>
    <s v="Rohan Mehta"/>
    <s v="Small Business"/>
    <x v="1"/>
    <s v="Filing Cabinet"/>
    <n v="1"/>
    <n v="192.11"/>
    <n v="0.05"/>
    <n v="182.5"/>
    <n v="120.77"/>
    <n v="61.73"/>
    <s v="Debit Card"/>
  </r>
  <r>
    <s v="ORD-0148"/>
    <d v="2025-07-09T00:00:00"/>
    <x v="5"/>
    <x v="5"/>
    <x v="2"/>
    <s v="Guwahati"/>
    <s v="Vikram Singh"/>
    <s v="Consumer"/>
    <x v="2"/>
    <s v="Desk Organizer"/>
    <n v="4"/>
    <n v="28.74"/>
    <n v="0.15"/>
    <n v="97.72"/>
    <n v="72.430000000000007"/>
    <n v="25.29"/>
    <s v="Credit Card"/>
  </r>
  <r>
    <s v="ORD-0149"/>
    <d v="2025-01-14T00:00:00"/>
    <x v="2"/>
    <x v="2"/>
    <x v="2"/>
    <s v="Guwahati"/>
    <s v="Neha Das"/>
    <s v="Consumer"/>
    <x v="1"/>
    <s v="Desk"/>
    <n v="3"/>
    <n v="315.24"/>
    <n v="0.15"/>
    <n v="803.86"/>
    <n v="525.19000000000005"/>
    <n v="278.67"/>
    <s v="Net Banking"/>
  </r>
  <r>
    <s v="ORD-0150"/>
    <d v="2025-12-22T00:00:00"/>
    <x v="3"/>
    <x v="3"/>
    <x v="1"/>
    <s v="Mumbai"/>
    <s v="Meera Iyer"/>
    <s v="Small Business"/>
    <x v="2"/>
    <s v="Printer Paper"/>
    <n v="1"/>
    <n v="8.6999999999999993"/>
    <n v="0.1"/>
    <n v="7.83"/>
    <n v="4.97"/>
    <n v="2.86"/>
    <s v="Net Banking"/>
  </r>
  <r>
    <s v="ORD-0151"/>
    <d v="2025-12-30T00:00:00"/>
    <x v="3"/>
    <x v="3"/>
    <x v="4"/>
    <s v="Chennai"/>
    <s v="Ananya Rao"/>
    <s v="Consumer"/>
    <x v="0"/>
    <s v="USB-C Hub"/>
    <n v="3"/>
    <n v="60.29"/>
    <n v="0"/>
    <n v="180.87"/>
    <n v="132.68"/>
    <n v="48.19"/>
    <s v="UPI"/>
  </r>
  <r>
    <s v="ORD-0152"/>
    <d v="2025-03-13T00:00:00"/>
    <x v="4"/>
    <x v="4"/>
    <x v="0"/>
    <s v="Bhopal"/>
    <s v="Priya Nair"/>
    <s v="Consumer"/>
    <x v="0"/>
    <s v="Headphones"/>
    <n v="1"/>
    <n v="81.75"/>
    <n v="0.05"/>
    <n v="77.66"/>
    <n v="53.97"/>
    <n v="23.69"/>
    <s v="Net Banking"/>
  </r>
  <r>
    <s v="ORD-0153"/>
    <d v="2025-07-23T00:00:00"/>
    <x v="5"/>
    <x v="5"/>
    <x v="2"/>
    <s v="Guwahati"/>
    <s v="Priya Nair"/>
    <s v="Corporate"/>
    <x v="1"/>
    <s v="Filing Cabinet"/>
    <n v="3"/>
    <n v="224.54"/>
    <n v="0.15"/>
    <n v="572.58000000000004"/>
    <n v="365.19"/>
    <n v="207.39"/>
    <s v="Debit Card"/>
  </r>
  <r>
    <s v="ORD-0154"/>
    <d v="2025-12-15T00:00:00"/>
    <x v="3"/>
    <x v="3"/>
    <x v="4"/>
    <s v="Bengaluru"/>
    <s v="Karan Patel"/>
    <s v="Small Business"/>
    <x v="1"/>
    <s v="Bookshelf"/>
    <n v="1"/>
    <n v="162.36000000000001"/>
    <n v="0.15"/>
    <n v="138.01"/>
    <n v="115.59"/>
    <n v="22.42"/>
    <s v="Credit Card"/>
  </r>
  <r>
    <s v="ORD-0155"/>
    <d v="2025-03-05T00:00:00"/>
    <x v="4"/>
    <x v="4"/>
    <x v="0"/>
    <s v="Indore"/>
    <s v="Priya Nair"/>
    <s v="Corporate"/>
    <x v="1"/>
    <s v="Desk"/>
    <n v="2"/>
    <n v="299.39999999999998"/>
    <n v="0"/>
    <n v="598.79999999999995"/>
    <n v="373.54"/>
    <n v="225.26"/>
    <s v="UPI"/>
  </r>
  <r>
    <s v="ORD-0156"/>
    <d v="2025-11-22T00:00:00"/>
    <x v="0"/>
    <x v="0"/>
    <x v="4"/>
    <s v="Hyderabad"/>
    <s v="Rohan Mehta"/>
    <s v="Consumer"/>
    <x v="1"/>
    <s v="Bookshelf"/>
    <n v="1"/>
    <n v="144.99"/>
    <n v="0.15"/>
    <n v="123.24"/>
    <n v="79.459999999999994"/>
    <n v="43.78"/>
    <s v="Net Banking"/>
  </r>
  <r>
    <s v="ORD-0157"/>
    <d v="2025-10-16T00:00:00"/>
    <x v="7"/>
    <x v="7"/>
    <x v="4"/>
    <s v="Hyderabad"/>
    <s v="Karan Patel"/>
    <s v="Small Business"/>
    <x v="0"/>
    <s v="Wireless Mouse"/>
    <n v="1"/>
    <n v="27.72"/>
    <n v="0.15"/>
    <n v="23.56"/>
    <n v="16.62"/>
    <n v="6.94"/>
    <s v="Credit Card"/>
  </r>
  <r>
    <s v="ORD-0158"/>
    <d v="2025-09-12T00:00:00"/>
    <x v="11"/>
    <x v="11"/>
    <x v="1"/>
    <s v="Pune"/>
    <s v="Neha Das"/>
    <s v="Consumer"/>
    <x v="1"/>
    <s v="Desk Lamp"/>
    <n v="2"/>
    <n v="44.42"/>
    <n v="0.1"/>
    <n v="79.959999999999994"/>
    <n v="52.72"/>
    <n v="27.24"/>
    <s v="Credit Card"/>
  </r>
  <r>
    <s v="ORD-0159"/>
    <d v="2025-03-22T00:00:00"/>
    <x v="4"/>
    <x v="4"/>
    <x v="2"/>
    <s v="Guwahati"/>
    <s v="Meera Iyer"/>
    <s v="Corporate"/>
    <x v="2"/>
    <s v="Desk Organizer"/>
    <n v="2"/>
    <n v="26.46"/>
    <n v="0.15"/>
    <n v="44.98"/>
    <n v="29.8"/>
    <n v="15.18"/>
    <s v="UPI"/>
  </r>
  <r>
    <s v="ORD-0160"/>
    <d v="2025-07-09T00:00:00"/>
    <x v="5"/>
    <x v="5"/>
    <x v="4"/>
    <s v="Bengaluru"/>
    <s v="Priya Nair"/>
    <s v="Consumer"/>
    <x v="1"/>
    <s v="Desk Lamp"/>
    <n v="1"/>
    <n v="38.130000000000003"/>
    <n v="0"/>
    <n v="38.130000000000003"/>
    <n v="22.89"/>
    <n v="15.24"/>
    <s v="Net Banking"/>
  </r>
  <r>
    <s v="ORD-0161"/>
    <d v="2025-07-16T00:00:00"/>
    <x v="5"/>
    <x v="5"/>
    <x v="0"/>
    <s v="Nagpur"/>
    <s v="Meera Iyer"/>
    <s v="Consumer"/>
    <x v="1"/>
    <s v="Filing Cabinet"/>
    <n v="1"/>
    <n v="228.98"/>
    <n v="0"/>
    <n v="228.98"/>
    <n v="174.95"/>
    <n v="54.03"/>
    <s v="UPI"/>
  </r>
  <r>
    <s v="ORD-0162"/>
    <d v="2025-09-13T00:00:00"/>
    <x v="11"/>
    <x v="11"/>
    <x v="1"/>
    <s v="Ahmedabad"/>
    <s v="Neha Das"/>
    <s v="Consumer"/>
    <x v="1"/>
    <s v="Filing Cabinet"/>
    <n v="3"/>
    <n v="203.25"/>
    <n v="0"/>
    <n v="609.75"/>
    <n v="333.54"/>
    <n v="276.20999999999998"/>
    <s v="UPI"/>
  </r>
  <r>
    <s v="ORD-0163"/>
    <d v="2025-10-26T00:00:00"/>
    <x v="7"/>
    <x v="7"/>
    <x v="3"/>
    <s v="Delhi"/>
    <s v="Karan Patel"/>
    <s v="Consumer"/>
    <x v="2"/>
    <s v="Notebook Pack"/>
    <n v="1"/>
    <n v="12.11"/>
    <n v="0.1"/>
    <n v="10.9"/>
    <n v="7.34"/>
    <n v="3.56"/>
    <s v="Net Banking"/>
  </r>
  <r>
    <s v="ORD-0164"/>
    <d v="2025-07-07T00:00:00"/>
    <x v="5"/>
    <x v="5"/>
    <x v="0"/>
    <s v="Indore"/>
    <s v="Priya Nair"/>
    <s v="Corporate"/>
    <x v="2"/>
    <s v="Pens Set"/>
    <n v="1"/>
    <n v="9.11"/>
    <n v="0.15"/>
    <n v="7.74"/>
    <n v="5.27"/>
    <n v="2.4700000000000002"/>
    <s v="Debit Card"/>
  </r>
  <r>
    <s v="ORD-0165"/>
    <d v="2025-10-09T00:00:00"/>
    <x v="7"/>
    <x v="7"/>
    <x v="2"/>
    <s v="Guwahati"/>
    <s v="Meera Iyer"/>
    <s v="Consumer"/>
    <x v="2"/>
    <s v="Stapler"/>
    <n v="4"/>
    <n v="13.89"/>
    <n v="0"/>
    <n v="55.56"/>
    <n v="35.46"/>
    <n v="20.100000000000001"/>
    <s v="UPI"/>
  </r>
  <r>
    <s v="ORD-0166"/>
    <d v="2025-11-05T00:00:00"/>
    <x v="0"/>
    <x v="0"/>
    <x v="1"/>
    <s v="Ahmedabad"/>
    <s v="Neha Das"/>
    <s v="Consumer"/>
    <x v="1"/>
    <s v="Filing Cabinet"/>
    <n v="3"/>
    <n v="191.09"/>
    <n v="0"/>
    <n v="573.27"/>
    <n v="420.82"/>
    <n v="152.44999999999999"/>
    <s v="UPI"/>
  </r>
  <r>
    <s v="ORD-0167"/>
    <d v="2025-06-17T00:00:00"/>
    <x v="9"/>
    <x v="9"/>
    <x v="0"/>
    <s v="Nagpur"/>
    <s v="Neha Das"/>
    <s v="Small Business"/>
    <x v="1"/>
    <s v="Bookshelf"/>
    <n v="1"/>
    <n v="167.69"/>
    <n v="0.05"/>
    <n v="159.31"/>
    <n v="117.07"/>
    <n v="42.24"/>
    <s v="Net Banking"/>
  </r>
  <r>
    <s v="ORD-0168"/>
    <d v="2025-09-01T00:00:00"/>
    <x v="11"/>
    <x v="11"/>
    <x v="3"/>
    <s v="Jaipur"/>
    <s v="Neha Das"/>
    <s v="Corporate"/>
    <x v="0"/>
    <s v="Monitor"/>
    <n v="2"/>
    <n v="203.3"/>
    <n v="0.1"/>
    <n v="365.94"/>
    <n v="282.63"/>
    <n v="83.31"/>
    <s v="UPI"/>
  </r>
  <r>
    <s v="ORD-0169"/>
    <d v="2025-01-27T00:00:00"/>
    <x v="2"/>
    <x v="2"/>
    <x v="1"/>
    <s v="Mumbai"/>
    <s v="Ananya Rao"/>
    <s v="Consumer"/>
    <x v="1"/>
    <s v="Filing Cabinet"/>
    <n v="1"/>
    <n v="218.06"/>
    <n v="0.15"/>
    <n v="185.35"/>
    <n v="164.06"/>
    <n v="21.29"/>
    <s v="Credit Card"/>
  </r>
  <r>
    <s v="ORD-0170"/>
    <d v="2025-04-08T00:00:00"/>
    <x v="6"/>
    <x v="6"/>
    <x v="0"/>
    <s v="Indore"/>
    <s v="Aarav Sharma"/>
    <s v="Small Business"/>
    <x v="0"/>
    <s v="Headphones"/>
    <n v="2"/>
    <n v="74.67"/>
    <n v="0"/>
    <n v="149.34"/>
    <n v="96.04"/>
    <n v="53.3"/>
    <s v="UPI"/>
  </r>
  <r>
    <s v="ORD-0171"/>
    <d v="2025-09-23T00:00:00"/>
    <x v="11"/>
    <x v="11"/>
    <x v="4"/>
    <s v="Chennai"/>
    <s v="Meera Iyer"/>
    <s v="Small Business"/>
    <x v="0"/>
    <s v="USB-C Hub"/>
    <n v="2"/>
    <n v="57.51"/>
    <n v="0.15"/>
    <n v="97.77"/>
    <n v="72.81"/>
    <n v="24.96"/>
    <s v="Net Banking"/>
  </r>
  <r>
    <s v="ORD-0172"/>
    <d v="2025-12-13T00:00:00"/>
    <x v="3"/>
    <x v="3"/>
    <x v="2"/>
    <s v="Kolkata"/>
    <s v="Vikram Singh"/>
    <s v="Corporate"/>
    <x v="1"/>
    <s v="Bookshelf"/>
    <n v="3"/>
    <n v="141.34"/>
    <n v="0"/>
    <n v="424.02"/>
    <n v="255.98"/>
    <n v="168.04"/>
    <s v="UPI"/>
  </r>
  <r>
    <s v="ORD-0173"/>
    <d v="2025-12-20T00:00:00"/>
    <x v="3"/>
    <x v="3"/>
    <x v="0"/>
    <s v="Nagpur"/>
    <s v="Karan Patel"/>
    <s v="Corporate"/>
    <x v="1"/>
    <s v="Filing Cabinet"/>
    <n v="2"/>
    <n v="205.11"/>
    <n v="0.05"/>
    <n v="389.71"/>
    <n v="248.73"/>
    <n v="140.97999999999999"/>
    <s v="Net Banking"/>
  </r>
  <r>
    <s v="ORD-0174"/>
    <d v="2025-03-16T00:00:00"/>
    <x v="4"/>
    <x v="4"/>
    <x v="2"/>
    <s v="Guwahati"/>
    <s v="Neha Das"/>
    <s v="Consumer"/>
    <x v="2"/>
    <s v="Notebook Pack"/>
    <n v="2"/>
    <n v="12.69"/>
    <n v="0.05"/>
    <n v="24.11"/>
    <n v="20.23"/>
    <n v="3.88"/>
    <s v="UPI"/>
  </r>
  <r>
    <s v="ORD-0175"/>
    <d v="2025-10-03T00:00:00"/>
    <x v="7"/>
    <x v="7"/>
    <x v="4"/>
    <s v="Bengaluru"/>
    <s v="Aarav Sharma"/>
    <s v="Small Business"/>
    <x v="2"/>
    <s v="Stapler"/>
    <n v="4"/>
    <n v="13.95"/>
    <n v="0.15"/>
    <n v="47.43"/>
    <n v="41.42"/>
    <n v="6.01"/>
    <s v="UPI"/>
  </r>
  <r>
    <s v="ORD-0176"/>
    <d v="2025-11-23T00:00:00"/>
    <x v="0"/>
    <x v="0"/>
    <x v="4"/>
    <s v="Bengaluru"/>
    <s v="Rohan Mehta"/>
    <s v="Corporate"/>
    <x v="0"/>
    <s v="Wireless Mouse"/>
    <n v="1"/>
    <n v="24.32"/>
    <n v="0.1"/>
    <n v="21.89"/>
    <n v="13.38"/>
    <n v="8.51"/>
    <s v="Debit Card"/>
  </r>
  <r>
    <s v="ORD-0177"/>
    <d v="2025-09-02T00:00:00"/>
    <x v="11"/>
    <x v="11"/>
    <x v="3"/>
    <s v="Jaipur"/>
    <s v="Ananya Rao"/>
    <s v="Small Business"/>
    <x v="1"/>
    <s v="Desk"/>
    <n v="4"/>
    <n v="308.22000000000003"/>
    <n v="0.05"/>
    <n v="1171.24"/>
    <n v="879.99"/>
    <n v="291.25"/>
    <s v="Credit Card"/>
  </r>
  <r>
    <s v="ORD-0178"/>
    <d v="2025-03-31T00:00:00"/>
    <x v="4"/>
    <x v="4"/>
    <x v="4"/>
    <s v="Hyderabad"/>
    <s v="Vikram Singh"/>
    <s v="Consumer"/>
    <x v="2"/>
    <s v="Printer Paper"/>
    <n v="6"/>
    <n v="7.26"/>
    <n v="0.1"/>
    <n v="39.200000000000003"/>
    <n v="32.950000000000003"/>
    <n v="6.25"/>
    <s v="Credit Card"/>
  </r>
  <r>
    <s v="ORD-0179"/>
    <d v="2025-06-02T00:00:00"/>
    <x v="9"/>
    <x v="9"/>
    <x v="0"/>
    <s v="Nagpur"/>
    <s v="Neha Das"/>
    <s v="Consumer"/>
    <x v="1"/>
    <s v="Desk Lamp"/>
    <n v="1"/>
    <n v="44.65"/>
    <n v="0.05"/>
    <n v="42.42"/>
    <n v="29.3"/>
    <n v="13.12"/>
    <s v="Debit Card"/>
  </r>
  <r>
    <s v="ORD-0180"/>
    <d v="2025-05-20T00:00:00"/>
    <x v="8"/>
    <x v="8"/>
    <x v="3"/>
    <s v="Jaipur"/>
    <s v="Meera Iyer"/>
    <s v="Corporate"/>
    <x v="0"/>
    <s v="Wireless Mouse"/>
    <n v="2"/>
    <n v="26.52"/>
    <n v="0.05"/>
    <n v="50.39"/>
    <n v="39.020000000000003"/>
    <n v="11.37"/>
    <s v="UPI"/>
  </r>
  <r>
    <s v="ORD-0181"/>
    <d v="2025-03-31T00:00:00"/>
    <x v="4"/>
    <x v="4"/>
    <x v="3"/>
    <s v="Delhi"/>
    <s v="Rohan Mehta"/>
    <s v="Corporate"/>
    <x v="1"/>
    <s v="Filing Cabinet"/>
    <n v="5"/>
    <n v="212.81"/>
    <n v="0"/>
    <n v="1064.05"/>
    <n v="681.26"/>
    <n v="382.79"/>
    <s v="Net Banking"/>
  </r>
  <r>
    <s v="ORD-0182"/>
    <d v="2025-05-08T00:00:00"/>
    <x v="8"/>
    <x v="8"/>
    <x v="2"/>
    <s v="Guwahati"/>
    <s v="Aarav Sharma"/>
    <s v="Corporate"/>
    <x v="0"/>
    <s v="Monitor"/>
    <n v="2"/>
    <n v="219.62"/>
    <n v="0.05"/>
    <n v="417.28"/>
    <n v="354.12"/>
    <n v="63.16"/>
    <s v="Net Banking"/>
  </r>
  <r>
    <s v="ORD-0183"/>
    <d v="2025-12-21T00:00:00"/>
    <x v="3"/>
    <x v="3"/>
    <x v="0"/>
    <s v="Nagpur"/>
    <s v="Vikram Singh"/>
    <s v="Small Business"/>
    <x v="0"/>
    <s v="Wireless Mouse"/>
    <n v="3"/>
    <n v="25.06"/>
    <n v="0"/>
    <n v="75.180000000000007"/>
    <n v="48.24"/>
    <n v="26.94"/>
    <s v="Credit Card"/>
  </r>
  <r>
    <s v="ORD-0184"/>
    <d v="2025-11-24T00:00:00"/>
    <x v="0"/>
    <x v="0"/>
    <x v="1"/>
    <s v="Ahmedabad"/>
    <s v="Meera Iyer"/>
    <s v="Corporate"/>
    <x v="2"/>
    <s v="Pens Set"/>
    <n v="3"/>
    <n v="9.48"/>
    <n v="0"/>
    <n v="28.44"/>
    <n v="18.87"/>
    <n v="9.57"/>
    <s v="Debit Card"/>
  </r>
  <r>
    <s v="ORD-0185"/>
    <d v="2025-10-03T00:00:00"/>
    <x v="7"/>
    <x v="7"/>
    <x v="3"/>
    <s v="Jaipur"/>
    <s v="Neha Das"/>
    <s v="Small Business"/>
    <x v="1"/>
    <s v="Desk"/>
    <n v="4"/>
    <n v="335.9"/>
    <n v="0.15"/>
    <n v="1142.06"/>
    <n v="1050.6199999999999"/>
    <n v="91.44"/>
    <s v="Net Banking"/>
  </r>
  <r>
    <s v="ORD-0186"/>
    <d v="2025-02-09T00:00:00"/>
    <x v="1"/>
    <x v="1"/>
    <x v="0"/>
    <s v="Bhopal"/>
    <s v="Rohan Mehta"/>
    <s v="Corporate"/>
    <x v="1"/>
    <s v="Office Chair"/>
    <n v="1"/>
    <n v="183.69"/>
    <n v="0.15"/>
    <n v="156.13999999999999"/>
    <n v="106.66"/>
    <n v="49.48"/>
    <s v="Debit Card"/>
  </r>
  <r>
    <s v="ORD-0187"/>
    <d v="2025-03-01T00:00:00"/>
    <x v="4"/>
    <x v="4"/>
    <x v="3"/>
    <s v="Chandigarh"/>
    <s v="Rohan Mehta"/>
    <s v="Small Business"/>
    <x v="1"/>
    <s v="Desk"/>
    <n v="4"/>
    <n v="322.41000000000003"/>
    <n v="0.15"/>
    <n v="1096.19"/>
    <n v="842.97"/>
    <n v="253.22"/>
    <s v="Debit Card"/>
  </r>
  <r>
    <s v="ORD-0188"/>
    <d v="2025-08-22T00:00:00"/>
    <x v="10"/>
    <x v="10"/>
    <x v="1"/>
    <s v="Pune"/>
    <s v="Aarav Sharma"/>
    <s v="Small Business"/>
    <x v="1"/>
    <s v="Office Chair"/>
    <n v="3"/>
    <n v="188.64"/>
    <n v="0.05"/>
    <n v="537.62"/>
    <n v="417.07"/>
    <n v="120.55"/>
    <s v="UPI"/>
  </r>
  <r>
    <s v="ORD-0189"/>
    <d v="2025-10-24T00:00:00"/>
    <x v="7"/>
    <x v="7"/>
    <x v="3"/>
    <s v="Chandigarh"/>
    <s v="Aarav Sharma"/>
    <s v="Corporate"/>
    <x v="0"/>
    <s v="Wireless Mouse"/>
    <n v="2"/>
    <n v="26.35"/>
    <n v="0.15"/>
    <n v="44.8"/>
    <n v="43.12"/>
    <n v="1.68"/>
    <s v="Debit Card"/>
  </r>
  <r>
    <s v="ORD-0190"/>
    <d v="2025-04-03T00:00:00"/>
    <x v="6"/>
    <x v="6"/>
    <x v="1"/>
    <s v="Pune"/>
    <s v="Priya Nair"/>
    <s v="Small Business"/>
    <x v="0"/>
    <s v="Headphones"/>
    <n v="2"/>
    <n v="87.69"/>
    <n v="0.1"/>
    <n v="157.84"/>
    <n v="136.94999999999999"/>
    <n v="20.89"/>
    <s v="UPI"/>
  </r>
  <r>
    <s v="ORD-0191"/>
    <d v="2025-12-01T00:00:00"/>
    <x v="3"/>
    <x v="3"/>
    <x v="4"/>
    <s v="Bengaluru"/>
    <s v="Aarav Sharma"/>
    <s v="Corporate"/>
    <x v="2"/>
    <s v="Notebook Pack"/>
    <n v="1"/>
    <n v="12.22"/>
    <n v="0.15"/>
    <n v="10.39"/>
    <n v="6.82"/>
    <n v="3.57"/>
    <s v="Debit Card"/>
  </r>
  <r>
    <s v="ORD-0192"/>
    <d v="2025-12-11T00:00:00"/>
    <x v="3"/>
    <x v="3"/>
    <x v="2"/>
    <s v="Kolkata"/>
    <s v="Vikram Singh"/>
    <s v="Consumer"/>
    <x v="1"/>
    <s v="Desk Lamp"/>
    <n v="2"/>
    <n v="39.340000000000003"/>
    <n v="0"/>
    <n v="78.680000000000007"/>
    <n v="46.76"/>
    <n v="31.92"/>
    <s v="Credit Card"/>
  </r>
  <r>
    <s v="ORD-0193"/>
    <d v="2025-01-17T00:00:00"/>
    <x v="2"/>
    <x v="2"/>
    <x v="3"/>
    <s v="Delhi"/>
    <s v="Aarav Sharma"/>
    <s v="Corporate"/>
    <x v="1"/>
    <s v="Filing Cabinet"/>
    <n v="3"/>
    <n v="232.25"/>
    <n v="0"/>
    <n v="696.75"/>
    <n v="412.62"/>
    <n v="284.13"/>
    <s v="Credit Card"/>
  </r>
  <r>
    <s v="ORD-0194"/>
    <d v="2025-05-06T00:00:00"/>
    <x v="8"/>
    <x v="8"/>
    <x v="3"/>
    <s v="Delhi"/>
    <s v="Vikram Singh"/>
    <s v="Consumer"/>
    <x v="1"/>
    <s v="Office Chair"/>
    <n v="2"/>
    <n v="171.28"/>
    <n v="0"/>
    <n v="342.56"/>
    <n v="255.66"/>
    <n v="86.9"/>
    <s v="Net Banking"/>
  </r>
  <r>
    <s v="ORD-0195"/>
    <d v="2025-10-23T00:00:00"/>
    <x v="7"/>
    <x v="7"/>
    <x v="2"/>
    <s v="Bhubaneswar"/>
    <s v="Aarav Sharma"/>
    <s v="Small Business"/>
    <x v="1"/>
    <s v="Bookshelf"/>
    <n v="1"/>
    <n v="163.92"/>
    <n v="0.15"/>
    <n v="139.33000000000001"/>
    <n v="96.11"/>
    <n v="43.22"/>
    <s v="UPI"/>
  </r>
  <r>
    <s v="ORD-0196"/>
    <d v="2025-11-17T00:00:00"/>
    <x v="0"/>
    <x v="0"/>
    <x v="1"/>
    <s v="Ahmedabad"/>
    <s v="Meera Iyer"/>
    <s v="Small Business"/>
    <x v="1"/>
    <s v="Filing Cabinet"/>
    <n v="3"/>
    <n v="191.17"/>
    <n v="0.05"/>
    <n v="544.83000000000004"/>
    <n v="460.23"/>
    <n v="84.6"/>
    <s v="Debit Card"/>
  </r>
  <r>
    <s v="ORD-0197"/>
    <d v="2025-07-29T00:00:00"/>
    <x v="5"/>
    <x v="5"/>
    <x v="4"/>
    <s v="Chennai"/>
    <s v="Rohan Mehta"/>
    <s v="Corporate"/>
    <x v="0"/>
    <s v="Monitor"/>
    <n v="2"/>
    <n v="234.51"/>
    <n v="0.1"/>
    <n v="422.12"/>
    <n v="277.8"/>
    <n v="144.32"/>
    <s v="Credit Card"/>
  </r>
  <r>
    <s v="ORD-0198"/>
    <d v="2025-10-15T00:00:00"/>
    <x v="7"/>
    <x v="7"/>
    <x v="2"/>
    <s v="Guwahati"/>
    <s v="Priya Nair"/>
    <s v="Corporate"/>
    <x v="2"/>
    <s v="Desk Organizer"/>
    <n v="3"/>
    <n v="26.03"/>
    <n v="0"/>
    <n v="78.09"/>
    <n v="46.58"/>
    <n v="31.51"/>
    <s v="Net Banking"/>
  </r>
  <r>
    <s v="ORD-0199"/>
    <d v="2025-02-17T00:00:00"/>
    <x v="1"/>
    <x v="1"/>
    <x v="3"/>
    <s v="Delhi"/>
    <s v="Ananya Rao"/>
    <s v="Corporate"/>
    <x v="1"/>
    <s v="Desk"/>
    <n v="1"/>
    <n v="314.55"/>
    <n v="0.15"/>
    <n v="267.37"/>
    <n v="220.46"/>
    <n v="46.91"/>
    <s v="UPI"/>
  </r>
  <r>
    <s v="ORD-0200"/>
    <d v="2025-06-20T00:00:00"/>
    <x v="9"/>
    <x v="9"/>
    <x v="1"/>
    <s v="Mumbai"/>
    <s v="Ananya Rao"/>
    <s v="Corporate"/>
    <x v="2"/>
    <s v="Notebook Pack"/>
    <n v="1"/>
    <n v="11.3"/>
    <n v="0"/>
    <n v="11.3"/>
    <n v="8.41"/>
    <n v="2.89"/>
    <s v="UPI"/>
  </r>
  <r>
    <s v="ORD-0201"/>
    <d v="2025-10-10T00:00:00"/>
    <x v="7"/>
    <x v="7"/>
    <x v="2"/>
    <s v="Guwahati"/>
    <s v="Neha Das"/>
    <s v="Corporate"/>
    <x v="2"/>
    <s v="Pens Set"/>
    <n v="2"/>
    <n v="10.17"/>
    <n v="0.05"/>
    <n v="19.32"/>
    <n v="12.46"/>
    <n v="6.86"/>
    <s v="Credit Card"/>
  </r>
  <r>
    <s v="ORD-0202"/>
    <d v="2025-08-29T00:00:00"/>
    <x v="10"/>
    <x v="10"/>
    <x v="4"/>
    <s v="Bengaluru"/>
    <s v="Vikram Singh"/>
    <s v="Small Business"/>
    <x v="2"/>
    <s v="Printer Paper"/>
    <n v="2"/>
    <n v="7.93"/>
    <n v="0.15"/>
    <n v="13.48"/>
    <n v="12.36"/>
    <n v="1.1200000000000001"/>
    <s v="Debit Card"/>
  </r>
  <r>
    <s v="ORD-0203"/>
    <d v="2025-06-01T00:00:00"/>
    <x v="9"/>
    <x v="9"/>
    <x v="2"/>
    <s v="Bhubaneswar"/>
    <s v="Neha Das"/>
    <s v="Small Business"/>
    <x v="0"/>
    <s v="Keyboard"/>
    <n v="2"/>
    <n v="44.26"/>
    <n v="0"/>
    <n v="88.52"/>
    <n v="59.29"/>
    <n v="29.23"/>
    <s v="Debit Card"/>
  </r>
  <r>
    <s v="ORD-0204"/>
    <d v="2025-08-24T00:00:00"/>
    <x v="10"/>
    <x v="10"/>
    <x v="0"/>
    <s v="Nagpur"/>
    <s v="Aarav Sharma"/>
    <s v="Small Business"/>
    <x v="0"/>
    <s v="Monitor"/>
    <n v="1"/>
    <n v="232.86"/>
    <n v="0.1"/>
    <n v="209.57"/>
    <n v="133.94"/>
    <n v="75.63"/>
    <s v="Credit Card"/>
  </r>
  <r>
    <s v="ORD-0205"/>
    <d v="2025-02-08T00:00:00"/>
    <x v="1"/>
    <x v="1"/>
    <x v="4"/>
    <s v="Bengaluru"/>
    <s v="Ananya Rao"/>
    <s v="Small Business"/>
    <x v="1"/>
    <s v="Office Chair"/>
    <n v="4"/>
    <n v="178.33"/>
    <n v="0"/>
    <n v="713.32"/>
    <n v="385.47"/>
    <n v="327.85"/>
    <s v="Debit Card"/>
  </r>
  <r>
    <s v="ORD-0206"/>
    <d v="2025-07-11T00:00:00"/>
    <x v="5"/>
    <x v="5"/>
    <x v="3"/>
    <s v="Delhi"/>
    <s v="Karan Patel"/>
    <s v="Consumer"/>
    <x v="0"/>
    <s v="USB-C Hub"/>
    <n v="3"/>
    <n v="60.8"/>
    <n v="0.1"/>
    <n v="164.16"/>
    <n v="130.91999999999999"/>
    <n v="33.24"/>
    <s v="Credit Card"/>
  </r>
  <r>
    <s v="ORD-0207"/>
    <d v="2025-09-29T00:00:00"/>
    <x v="11"/>
    <x v="11"/>
    <x v="1"/>
    <s v="Mumbai"/>
    <s v="Priya Nair"/>
    <s v="Consumer"/>
    <x v="1"/>
    <s v="Bookshelf"/>
    <n v="3"/>
    <n v="144.46"/>
    <n v="0.15"/>
    <n v="368.37"/>
    <n v="331.08"/>
    <n v="37.29"/>
    <s v="UPI"/>
  </r>
  <r>
    <s v="ORD-0208"/>
    <d v="2025-05-04T00:00:00"/>
    <x v="8"/>
    <x v="8"/>
    <x v="3"/>
    <s v="Chandigarh"/>
    <s v="Karan Patel"/>
    <s v="Corporate"/>
    <x v="0"/>
    <s v="USB-C Hub"/>
    <n v="3"/>
    <n v="59.36"/>
    <n v="0.05"/>
    <n v="169.18"/>
    <n v="135.07"/>
    <n v="34.11"/>
    <s v="UPI"/>
  </r>
  <r>
    <s v="ORD-0209"/>
    <d v="2025-12-23T00:00:00"/>
    <x v="3"/>
    <x v="3"/>
    <x v="1"/>
    <s v="Pune"/>
    <s v="Neha Das"/>
    <s v="Consumer"/>
    <x v="0"/>
    <s v="Monitor"/>
    <n v="4"/>
    <n v="239.04"/>
    <n v="0"/>
    <n v="956.16"/>
    <n v="524.02"/>
    <n v="432.14"/>
    <s v="Credit Card"/>
  </r>
  <r>
    <s v="ORD-0210"/>
    <d v="2025-12-26T00:00:00"/>
    <x v="3"/>
    <x v="3"/>
    <x v="3"/>
    <s v="Jaipur"/>
    <s v="Aarav Sharma"/>
    <s v="Consumer"/>
    <x v="0"/>
    <s v="Wireless Mouse"/>
    <n v="3"/>
    <n v="24.89"/>
    <n v="0.05"/>
    <n v="70.94"/>
    <n v="51.5"/>
    <n v="19.440000000000001"/>
    <s v="UPI"/>
  </r>
  <r>
    <s v="ORD-0211"/>
    <d v="2025-12-21T00:00:00"/>
    <x v="3"/>
    <x v="3"/>
    <x v="0"/>
    <s v="Nagpur"/>
    <s v="Aarav Sharma"/>
    <s v="Consumer"/>
    <x v="1"/>
    <s v="Filing Cabinet"/>
    <n v="2"/>
    <n v="231.7"/>
    <n v="0.05"/>
    <n v="440.23"/>
    <n v="365.99"/>
    <n v="74.239999999999995"/>
    <s v="Net Banking"/>
  </r>
  <r>
    <s v="ORD-0212"/>
    <d v="2025-01-09T00:00:00"/>
    <x v="2"/>
    <x v="2"/>
    <x v="2"/>
    <s v="Kolkata"/>
    <s v="Ananya Rao"/>
    <s v="Small Business"/>
    <x v="0"/>
    <s v="USB-C Hub"/>
    <n v="1"/>
    <n v="59.43"/>
    <n v="0.1"/>
    <n v="53.49"/>
    <n v="47.46"/>
    <n v="6.03"/>
    <s v="Debit Card"/>
  </r>
  <r>
    <s v="ORD-0213"/>
    <d v="2025-12-13T00:00:00"/>
    <x v="3"/>
    <x v="3"/>
    <x v="2"/>
    <s v="Kolkata"/>
    <s v="Priya Nair"/>
    <s v="Corporate"/>
    <x v="1"/>
    <s v="Bookshelf"/>
    <n v="2"/>
    <n v="159.41"/>
    <n v="0"/>
    <n v="318.82"/>
    <n v="213.69"/>
    <n v="105.13"/>
    <s v="UPI"/>
  </r>
  <r>
    <s v="ORD-0214"/>
    <d v="2025-02-08T00:00:00"/>
    <x v="1"/>
    <x v="1"/>
    <x v="2"/>
    <s v="Kolkata"/>
    <s v="Vikram Singh"/>
    <s v="Corporate"/>
    <x v="2"/>
    <s v="Stapler"/>
    <n v="4"/>
    <n v="16.649999999999999"/>
    <n v="0.1"/>
    <n v="59.94"/>
    <n v="53.99"/>
    <n v="5.95"/>
    <s v="Debit Card"/>
  </r>
  <r>
    <s v="ORD-0215"/>
    <d v="2025-04-27T00:00:00"/>
    <x v="6"/>
    <x v="6"/>
    <x v="3"/>
    <s v="Jaipur"/>
    <s v="Vikram Singh"/>
    <s v="Consumer"/>
    <x v="2"/>
    <s v="Stapler"/>
    <n v="8"/>
    <n v="14.93"/>
    <n v="0.15"/>
    <n v="101.52"/>
    <n v="85.78"/>
    <n v="15.74"/>
    <s v="Credit Card"/>
  </r>
  <r>
    <s v="ORD-0216"/>
    <d v="2025-02-12T00:00:00"/>
    <x v="1"/>
    <x v="1"/>
    <x v="2"/>
    <s v="Bhubaneswar"/>
    <s v="Priya Nair"/>
    <s v="Consumer"/>
    <x v="2"/>
    <s v="Printer Paper"/>
    <n v="2"/>
    <n v="8.58"/>
    <n v="0"/>
    <n v="17.16"/>
    <n v="12.73"/>
    <n v="4.43"/>
    <s v="Credit Card"/>
  </r>
  <r>
    <s v="ORD-0217"/>
    <d v="2025-06-07T00:00:00"/>
    <x v="9"/>
    <x v="9"/>
    <x v="1"/>
    <s v="Ahmedabad"/>
    <s v="Karan Patel"/>
    <s v="Consumer"/>
    <x v="2"/>
    <s v="Pens Set"/>
    <n v="4"/>
    <n v="9.2200000000000006"/>
    <n v="0"/>
    <n v="36.880000000000003"/>
    <n v="21.25"/>
    <n v="15.63"/>
    <s v="Credit Card"/>
  </r>
  <r>
    <s v="ORD-0218"/>
    <d v="2025-02-15T00:00:00"/>
    <x v="1"/>
    <x v="1"/>
    <x v="3"/>
    <s v="Chandigarh"/>
    <s v="Karan Patel"/>
    <s v="Corporate"/>
    <x v="2"/>
    <s v="Stapler"/>
    <n v="1"/>
    <n v="15.47"/>
    <n v="0.05"/>
    <n v="14.7"/>
    <n v="12.05"/>
    <n v="2.65"/>
    <s v="Credit Card"/>
  </r>
  <r>
    <s v="ORD-0219"/>
    <d v="2025-10-14T00:00:00"/>
    <x v="7"/>
    <x v="7"/>
    <x v="2"/>
    <s v="Bhubaneswar"/>
    <s v="Neha Das"/>
    <s v="Consumer"/>
    <x v="0"/>
    <s v="USB-C Hub"/>
    <n v="3"/>
    <n v="57.79"/>
    <n v="0"/>
    <n v="173.37"/>
    <n v="97.37"/>
    <n v="76"/>
    <s v="Credit Card"/>
  </r>
  <r>
    <s v="ORD-0220"/>
    <d v="2025-03-27T00:00:00"/>
    <x v="4"/>
    <x v="4"/>
    <x v="4"/>
    <s v="Hyderabad"/>
    <s v="Neha Das"/>
    <s v="Small Business"/>
    <x v="2"/>
    <s v="Pens Set"/>
    <n v="2"/>
    <n v="10.07"/>
    <n v="0"/>
    <n v="20.14"/>
    <n v="12.65"/>
    <n v="7.49"/>
    <s v="UPI"/>
  </r>
  <r>
    <s v="ORD-0221"/>
    <d v="2025-08-23T00:00:00"/>
    <x v="10"/>
    <x v="10"/>
    <x v="1"/>
    <s v="Pune"/>
    <s v="Neha Das"/>
    <s v="Corporate"/>
    <x v="0"/>
    <s v="Keyboard"/>
    <n v="2"/>
    <n v="49.89"/>
    <n v="0.05"/>
    <n v="94.79"/>
    <n v="77.08"/>
    <n v="17.71"/>
    <s v="Debit Card"/>
  </r>
  <r>
    <s v="ORD-0222"/>
    <d v="2025-11-30T00:00:00"/>
    <x v="0"/>
    <x v="0"/>
    <x v="4"/>
    <s v="Chennai"/>
    <s v="Meera Iyer"/>
    <s v="Corporate"/>
    <x v="1"/>
    <s v="Desk"/>
    <n v="2"/>
    <n v="330.47"/>
    <n v="0"/>
    <n v="660.94"/>
    <n v="438.67"/>
    <n v="222.27"/>
    <s v="Debit Card"/>
  </r>
  <r>
    <s v="ORD-0223"/>
    <d v="2025-10-22T00:00:00"/>
    <x v="7"/>
    <x v="7"/>
    <x v="0"/>
    <s v="Bhopal"/>
    <s v="Rohan Mehta"/>
    <s v="Small Business"/>
    <x v="0"/>
    <s v="Monitor"/>
    <n v="2"/>
    <n v="237.52"/>
    <n v="0.1"/>
    <n v="427.54"/>
    <n v="299.04000000000002"/>
    <n v="128.5"/>
    <s v="Credit Card"/>
  </r>
  <r>
    <s v="ORD-0224"/>
    <d v="2025-08-25T00:00:00"/>
    <x v="10"/>
    <x v="10"/>
    <x v="1"/>
    <s v="Ahmedabad"/>
    <s v="Neha Das"/>
    <s v="Consumer"/>
    <x v="1"/>
    <s v="Desk"/>
    <n v="2"/>
    <n v="308.51"/>
    <n v="0"/>
    <n v="617.02"/>
    <n v="472.45"/>
    <n v="144.57"/>
    <s v="Net Banking"/>
  </r>
  <r>
    <s v="ORD-0225"/>
    <d v="2025-05-04T00:00:00"/>
    <x v="8"/>
    <x v="8"/>
    <x v="0"/>
    <s v="Indore"/>
    <s v="Karan Patel"/>
    <s v="Small Business"/>
    <x v="2"/>
    <s v="Printer Paper"/>
    <n v="4"/>
    <n v="8.59"/>
    <n v="0"/>
    <n v="34.36"/>
    <n v="22.5"/>
    <n v="11.86"/>
    <s v="Debit Card"/>
  </r>
  <r>
    <s v="ORD-0226"/>
    <d v="2025-10-06T00:00:00"/>
    <x v="7"/>
    <x v="7"/>
    <x v="3"/>
    <s v="Delhi"/>
    <s v="Ananya Rao"/>
    <s v="Small Business"/>
    <x v="0"/>
    <s v="Monitor"/>
    <n v="4"/>
    <n v="237.32"/>
    <n v="0.15"/>
    <n v="806.89"/>
    <n v="675.37"/>
    <n v="131.52000000000001"/>
    <s v="Net Banking"/>
  </r>
  <r>
    <s v="ORD-0227"/>
    <d v="2025-03-27T00:00:00"/>
    <x v="4"/>
    <x v="4"/>
    <x v="2"/>
    <s v="Bhubaneswar"/>
    <s v="Priya Nair"/>
    <s v="Consumer"/>
    <x v="1"/>
    <s v="Desk Lamp"/>
    <n v="1"/>
    <n v="44.66"/>
    <n v="0.1"/>
    <n v="40.19"/>
    <n v="36.18"/>
    <n v="4.01"/>
    <s v="Credit Card"/>
  </r>
  <r>
    <s v="ORD-0228"/>
    <d v="2025-05-13T00:00:00"/>
    <x v="8"/>
    <x v="8"/>
    <x v="2"/>
    <s v="Bhubaneswar"/>
    <s v="Neha Das"/>
    <s v="Small Business"/>
    <x v="0"/>
    <s v="USB-C Hub"/>
    <n v="4"/>
    <n v="56.25"/>
    <n v="0.15"/>
    <n v="191.25"/>
    <n v="131.91999999999999"/>
    <n v="59.33"/>
    <s v="UPI"/>
  </r>
  <r>
    <s v="ORD-0229"/>
    <d v="2025-06-26T00:00:00"/>
    <x v="9"/>
    <x v="9"/>
    <x v="4"/>
    <s v="Chennai"/>
    <s v="Vikram Singh"/>
    <s v="Corporate"/>
    <x v="0"/>
    <s v="Headphones"/>
    <n v="1"/>
    <n v="79.319999999999993"/>
    <n v="0"/>
    <n v="79.319999999999993"/>
    <n v="44.01"/>
    <n v="35.31"/>
    <s v="Debit Card"/>
  </r>
  <r>
    <s v="ORD-0230"/>
    <d v="2025-04-16T00:00:00"/>
    <x v="6"/>
    <x v="6"/>
    <x v="2"/>
    <s v="Kolkata"/>
    <s v="Priya Nair"/>
    <s v="Consumer"/>
    <x v="1"/>
    <s v="Filing Cabinet"/>
    <n v="2"/>
    <n v="193.51"/>
    <n v="0.1"/>
    <n v="348.32"/>
    <n v="238.28"/>
    <n v="110.04"/>
    <s v="Net Banking"/>
  </r>
  <r>
    <s v="ORD-0231"/>
    <d v="2025-11-28T00:00:00"/>
    <x v="0"/>
    <x v="0"/>
    <x v="4"/>
    <s v="Chennai"/>
    <s v="Karan Patel"/>
    <s v="Corporate"/>
    <x v="0"/>
    <s v="Keyboard"/>
    <n v="6"/>
    <n v="47.83"/>
    <n v="0.15"/>
    <n v="243.93"/>
    <n v="164.25"/>
    <n v="79.680000000000007"/>
    <s v="UPI"/>
  </r>
  <r>
    <s v="ORD-0232"/>
    <d v="2025-07-27T00:00:00"/>
    <x v="5"/>
    <x v="5"/>
    <x v="0"/>
    <s v="Bhopal"/>
    <s v="Neha Das"/>
    <s v="Small Business"/>
    <x v="1"/>
    <s v="Desk"/>
    <n v="1"/>
    <n v="334.27"/>
    <n v="0.1"/>
    <n v="300.83999999999997"/>
    <n v="176.75"/>
    <n v="124.09"/>
    <s v="Debit Card"/>
  </r>
  <r>
    <s v="ORD-0233"/>
    <d v="2025-07-19T00:00:00"/>
    <x v="5"/>
    <x v="5"/>
    <x v="0"/>
    <s v="Bhopal"/>
    <s v="Meera Iyer"/>
    <s v="Corporate"/>
    <x v="0"/>
    <s v="Keyboard"/>
    <n v="1"/>
    <n v="47.95"/>
    <n v="0"/>
    <n v="47.95"/>
    <n v="33.24"/>
    <n v="14.71"/>
    <s v="UPI"/>
  </r>
  <r>
    <s v="ORD-0234"/>
    <d v="2025-08-23T00:00:00"/>
    <x v="10"/>
    <x v="10"/>
    <x v="0"/>
    <s v="Indore"/>
    <s v="Priya Nair"/>
    <s v="Corporate"/>
    <x v="0"/>
    <s v="Monitor"/>
    <n v="4"/>
    <n v="221.69"/>
    <n v="0.05"/>
    <n v="842.42"/>
    <n v="619.92999999999995"/>
    <n v="222.49"/>
    <s v="Net Banking"/>
  </r>
  <r>
    <s v="ORD-0235"/>
    <d v="2025-08-23T00:00:00"/>
    <x v="10"/>
    <x v="10"/>
    <x v="0"/>
    <s v="Bhopal"/>
    <s v="Rohan Mehta"/>
    <s v="Corporate"/>
    <x v="1"/>
    <s v="Desk"/>
    <n v="5"/>
    <n v="337.7"/>
    <n v="0.05"/>
    <n v="1604.07"/>
    <n v="1343.38"/>
    <n v="260.69"/>
    <s v="Credit Card"/>
  </r>
  <r>
    <s v="ORD-0236"/>
    <d v="2025-05-03T00:00:00"/>
    <x v="8"/>
    <x v="8"/>
    <x v="0"/>
    <s v="Bhopal"/>
    <s v="Karan Patel"/>
    <s v="Corporate"/>
    <x v="2"/>
    <s v="Notebook Pack"/>
    <n v="1"/>
    <n v="12.63"/>
    <n v="0.15"/>
    <n v="10.74"/>
    <n v="8.0399999999999991"/>
    <n v="2.7"/>
    <s v="UPI"/>
  </r>
  <r>
    <s v="ORD-0237"/>
    <d v="2025-09-07T00:00:00"/>
    <x v="11"/>
    <x v="11"/>
    <x v="1"/>
    <s v="Pune"/>
    <s v="Rohan Mehta"/>
    <s v="Consumer"/>
    <x v="1"/>
    <s v="Desk Lamp"/>
    <n v="4"/>
    <n v="41.68"/>
    <n v="0"/>
    <n v="166.72"/>
    <n v="114.45"/>
    <n v="52.27"/>
    <s v="Net Banking"/>
  </r>
  <r>
    <s v="ORD-0238"/>
    <d v="2025-08-19T00:00:00"/>
    <x v="10"/>
    <x v="10"/>
    <x v="1"/>
    <s v="Ahmedabad"/>
    <s v="Neha Das"/>
    <s v="Corporate"/>
    <x v="1"/>
    <s v="Office Chair"/>
    <n v="5"/>
    <n v="199.69"/>
    <n v="0.1"/>
    <n v="898.61"/>
    <n v="560.09"/>
    <n v="338.52"/>
    <s v="Debit Card"/>
  </r>
  <r>
    <s v="ORD-0239"/>
    <d v="2025-08-01T00:00:00"/>
    <x v="10"/>
    <x v="10"/>
    <x v="4"/>
    <s v="Chennai"/>
    <s v="Aarav Sharma"/>
    <s v="Corporate"/>
    <x v="1"/>
    <s v="Filing Cabinet"/>
    <n v="2"/>
    <n v="192.82"/>
    <n v="0"/>
    <n v="385.64"/>
    <n v="292.61"/>
    <n v="93.03"/>
    <s v="UPI"/>
  </r>
  <r>
    <s v="ORD-0240"/>
    <d v="2025-10-03T00:00:00"/>
    <x v="7"/>
    <x v="7"/>
    <x v="3"/>
    <s v="Jaipur"/>
    <s v="Priya Nair"/>
    <s v="Corporate"/>
    <x v="2"/>
    <s v="Printer Paper"/>
    <n v="4"/>
    <n v="8.1999999999999993"/>
    <n v="0.1"/>
    <n v="29.52"/>
    <n v="22.47"/>
    <n v="7.05"/>
    <s v="Net Banking"/>
  </r>
  <r>
    <s v="ORD-0241"/>
    <d v="2025-10-05T00:00:00"/>
    <x v="7"/>
    <x v="7"/>
    <x v="4"/>
    <s v="Chennai"/>
    <s v="Aarav Sharma"/>
    <s v="Corporate"/>
    <x v="0"/>
    <s v="Headphones"/>
    <n v="3"/>
    <n v="89.42"/>
    <n v="0"/>
    <n v="268.26"/>
    <n v="198.73"/>
    <n v="69.53"/>
    <s v="Net Banking"/>
  </r>
  <r>
    <s v="ORD-0242"/>
    <d v="2025-06-28T00:00:00"/>
    <x v="9"/>
    <x v="9"/>
    <x v="0"/>
    <s v="Nagpur"/>
    <s v="Meera Iyer"/>
    <s v="Small Business"/>
    <x v="0"/>
    <s v="Headphones"/>
    <n v="5"/>
    <n v="74.069999999999993"/>
    <n v="0"/>
    <n v="370.35"/>
    <n v="215.9"/>
    <n v="154.44999999999999"/>
    <s v="Debit Card"/>
  </r>
  <r>
    <s v="ORD-0243"/>
    <d v="2025-03-26T00:00:00"/>
    <x v="4"/>
    <x v="4"/>
    <x v="0"/>
    <s v="Indore"/>
    <s v="Rohan Mehta"/>
    <s v="Corporate"/>
    <x v="1"/>
    <s v="Desk"/>
    <n v="4"/>
    <n v="345.27"/>
    <n v="0"/>
    <n v="1381.08"/>
    <n v="954.36"/>
    <n v="426.72"/>
    <s v="Net Banking"/>
  </r>
  <r>
    <s v="ORD-0244"/>
    <d v="2025-05-29T00:00:00"/>
    <x v="8"/>
    <x v="8"/>
    <x v="1"/>
    <s v="Mumbai"/>
    <s v="Vikram Singh"/>
    <s v="Small Business"/>
    <x v="1"/>
    <s v="Bookshelf"/>
    <n v="8"/>
    <n v="151.97999999999999"/>
    <n v="0"/>
    <n v="1215.8399999999999"/>
    <n v="681.69"/>
    <n v="534.15"/>
    <s v="UPI"/>
  </r>
  <r>
    <s v="ORD-0245"/>
    <d v="2025-12-26T00:00:00"/>
    <x v="3"/>
    <x v="3"/>
    <x v="1"/>
    <s v="Pune"/>
    <s v="Rohan Mehta"/>
    <s v="Small Business"/>
    <x v="0"/>
    <s v="Keyboard"/>
    <n v="1"/>
    <n v="43.69"/>
    <n v="0"/>
    <n v="43.69"/>
    <n v="32.700000000000003"/>
    <n v="10.99"/>
    <s v="Net Banking"/>
  </r>
  <r>
    <s v="ORD-0246"/>
    <d v="2025-11-18T00:00:00"/>
    <x v="0"/>
    <x v="0"/>
    <x v="2"/>
    <s v="Guwahati"/>
    <s v="Meera Iyer"/>
    <s v="Corporate"/>
    <x v="2"/>
    <s v="Desk Organizer"/>
    <n v="2"/>
    <n v="29.1"/>
    <n v="0"/>
    <n v="58.2"/>
    <n v="37.299999999999997"/>
    <n v="20.9"/>
    <s v="Debit Card"/>
  </r>
  <r>
    <s v="ORD-0247"/>
    <d v="2025-06-17T00:00:00"/>
    <x v="9"/>
    <x v="9"/>
    <x v="1"/>
    <s v="Ahmedabad"/>
    <s v="Meera Iyer"/>
    <s v="Consumer"/>
    <x v="1"/>
    <s v="Office Chair"/>
    <n v="5"/>
    <n v="195.55"/>
    <n v="0"/>
    <n v="977.75"/>
    <n v="722.83"/>
    <n v="254.92"/>
    <s v="Debit Card"/>
  </r>
  <r>
    <s v="ORD-0248"/>
    <d v="2025-04-22T00:00:00"/>
    <x v="6"/>
    <x v="6"/>
    <x v="0"/>
    <s v="Bhopal"/>
    <s v="Neha Das"/>
    <s v="Corporate"/>
    <x v="2"/>
    <s v="Printer Paper"/>
    <n v="3"/>
    <n v="7.77"/>
    <n v="0.05"/>
    <n v="22.14"/>
    <n v="14.48"/>
    <n v="7.66"/>
    <s v="Credit Card"/>
  </r>
  <r>
    <s v="ORD-0249"/>
    <d v="2025-01-24T00:00:00"/>
    <x v="2"/>
    <x v="2"/>
    <x v="3"/>
    <s v="Chandigarh"/>
    <s v="Ananya Rao"/>
    <s v="Small Business"/>
    <x v="0"/>
    <s v="Headphones"/>
    <n v="1"/>
    <n v="88.36"/>
    <n v="0"/>
    <n v="88.36"/>
    <n v="57.64"/>
    <n v="30.72"/>
    <s v="UPI"/>
  </r>
  <r>
    <s v="ORD-0250"/>
    <d v="2025-11-29T00:00:00"/>
    <x v="0"/>
    <x v="0"/>
    <x v="2"/>
    <s v="Kolkata"/>
    <s v="Meera Iyer"/>
    <s v="Small Business"/>
    <x v="2"/>
    <s v="Printer Paper"/>
    <n v="5"/>
    <n v="8.74"/>
    <n v="0"/>
    <n v="43.7"/>
    <n v="31.31"/>
    <n v="12.39"/>
    <s v="UPI"/>
  </r>
  <r>
    <s v="ORD-0251"/>
    <d v="2025-01-27T00:00:00"/>
    <x v="2"/>
    <x v="2"/>
    <x v="3"/>
    <s v="Delhi"/>
    <s v="Ananya Rao"/>
    <s v="Corporate"/>
    <x v="2"/>
    <s v="Pens Set"/>
    <n v="4"/>
    <n v="10.66"/>
    <n v="0.1"/>
    <n v="38.380000000000003"/>
    <n v="30.56"/>
    <n v="7.82"/>
    <s v="Credit Card"/>
  </r>
  <r>
    <s v="ORD-0252"/>
    <d v="2025-03-09T00:00:00"/>
    <x v="4"/>
    <x v="4"/>
    <x v="3"/>
    <s v="Chandigarh"/>
    <s v="Rohan Mehta"/>
    <s v="Corporate"/>
    <x v="1"/>
    <s v="Desk"/>
    <n v="3"/>
    <n v="319.33"/>
    <n v="0"/>
    <n v="957.99"/>
    <n v="698.07"/>
    <n v="259.92"/>
    <s v="Credit Card"/>
  </r>
  <r>
    <s v="ORD-0253"/>
    <d v="2025-04-28T00:00:00"/>
    <x v="6"/>
    <x v="6"/>
    <x v="2"/>
    <s v="Kolkata"/>
    <s v="Karan Patel"/>
    <s v="Consumer"/>
    <x v="2"/>
    <s v="Notebook Pack"/>
    <n v="4"/>
    <n v="11.07"/>
    <n v="0.05"/>
    <n v="42.07"/>
    <n v="27.91"/>
    <n v="14.16"/>
    <s v="UPI"/>
  </r>
  <r>
    <s v="ORD-0254"/>
    <d v="2025-02-05T00:00:00"/>
    <x v="1"/>
    <x v="1"/>
    <x v="4"/>
    <s v="Hyderabad"/>
    <s v="Rohan Mehta"/>
    <s v="Corporate"/>
    <x v="1"/>
    <s v="Desk Lamp"/>
    <n v="1"/>
    <n v="41.72"/>
    <n v="0.1"/>
    <n v="37.549999999999997"/>
    <n v="26.09"/>
    <n v="11.46"/>
    <s v="Debit Card"/>
  </r>
  <r>
    <s v="ORD-0255"/>
    <d v="2025-04-22T00:00:00"/>
    <x v="6"/>
    <x v="6"/>
    <x v="1"/>
    <s v="Pune"/>
    <s v="Rohan Mehta"/>
    <s v="Consumer"/>
    <x v="0"/>
    <s v="Wireless Mouse"/>
    <n v="1"/>
    <n v="23.18"/>
    <n v="0.1"/>
    <n v="20.86"/>
    <n v="14.5"/>
    <n v="6.36"/>
    <s v="Net Banking"/>
  </r>
  <r>
    <s v="ORD-0256"/>
    <d v="2025-11-27T00:00:00"/>
    <x v="0"/>
    <x v="0"/>
    <x v="3"/>
    <s v="Jaipur"/>
    <s v="Vikram Singh"/>
    <s v="Consumer"/>
    <x v="0"/>
    <s v="Keyboard"/>
    <n v="3"/>
    <n v="46.44"/>
    <n v="0.15"/>
    <n v="118.42"/>
    <n v="84.35"/>
    <n v="34.07"/>
    <s v="UPI"/>
  </r>
  <r>
    <s v="ORD-0257"/>
    <d v="2025-07-20T00:00:00"/>
    <x v="5"/>
    <x v="5"/>
    <x v="3"/>
    <s v="Delhi"/>
    <s v="Neha Das"/>
    <s v="Small Business"/>
    <x v="2"/>
    <s v="Notebook Pack"/>
    <n v="4"/>
    <n v="12.9"/>
    <n v="0"/>
    <n v="51.6"/>
    <n v="34.49"/>
    <n v="17.11"/>
    <s v="Credit Card"/>
  </r>
  <r>
    <s v="ORD-0258"/>
    <d v="2025-09-28T00:00:00"/>
    <x v="11"/>
    <x v="11"/>
    <x v="0"/>
    <s v="Nagpur"/>
    <s v="Rohan Mehta"/>
    <s v="Corporate"/>
    <x v="0"/>
    <s v="Monitor"/>
    <n v="6"/>
    <n v="204.39"/>
    <n v="0.15"/>
    <n v="1042.3900000000001"/>
    <n v="792.53"/>
    <n v="249.86"/>
    <s v="Credit Card"/>
  </r>
  <r>
    <s v="ORD-0259"/>
    <d v="2025-01-09T00:00:00"/>
    <x v="2"/>
    <x v="2"/>
    <x v="1"/>
    <s v="Ahmedabad"/>
    <s v="Vikram Singh"/>
    <s v="Small Business"/>
    <x v="1"/>
    <s v="Office Chair"/>
    <n v="1"/>
    <n v="170.54"/>
    <n v="0"/>
    <n v="170.54"/>
    <n v="137.22"/>
    <n v="33.32"/>
    <s v="Debit Card"/>
  </r>
  <r>
    <s v="ORD-0260"/>
    <d v="2025-08-05T00:00:00"/>
    <x v="10"/>
    <x v="10"/>
    <x v="3"/>
    <s v="Chandigarh"/>
    <s v="Priya Nair"/>
    <s v="Small Business"/>
    <x v="1"/>
    <s v="Filing Cabinet"/>
    <n v="1"/>
    <n v="213.79"/>
    <n v="0.15"/>
    <n v="181.72"/>
    <n v="120.96"/>
    <n v="60.76"/>
    <s v="UPI"/>
  </r>
  <r>
    <s v="ORD-0261"/>
    <d v="2025-03-21T00:00:00"/>
    <x v="4"/>
    <x v="4"/>
    <x v="1"/>
    <s v="Ahmedabad"/>
    <s v="Ananya Rao"/>
    <s v="Consumer"/>
    <x v="1"/>
    <s v="Bookshelf"/>
    <n v="2"/>
    <n v="155.93"/>
    <n v="0"/>
    <n v="311.86"/>
    <n v="191.19"/>
    <n v="120.67"/>
    <s v="UPI"/>
  </r>
  <r>
    <s v="ORD-0262"/>
    <d v="2025-02-14T00:00:00"/>
    <x v="1"/>
    <x v="1"/>
    <x v="4"/>
    <s v="Bengaluru"/>
    <s v="Aarav Sharma"/>
    <s v="Small Business"/>
    <x v="2"/>
    <s v="Notebook Pack"/>
    <n v="2"/>
    <n v="12.41"/>
    <n v="0.05"/>
    <n v="23.58"/>
    <n v="17.87"/>
    <n v="5.71"/>
    <s v="UPI"/>
  </r>
  <r>
    <s v="ORD-0263"/>
    <d v="2025-12-26T00:00:00"/>
    <x v="3"/>
    <x v="3"/>
    <x v="2"/>
    <s v="Kolkata"/>
    <s v="Meera Iyer"/>
    <s v="Consumer"/>
    <x v="0"/>
    <s v="Keyboard"/>
    <n v="3"/>
    <n v="43.93"/>
    <n v="0.15"/>
    <n v="112.02"/>
    <n v="99.49"/>
    <n v="12.53"/>
    <s v="Net Banking"/>
  </r>
  <r>
    <s v="ORD-0264"/>
    <d v="2025-03-02T00:00:00"/>
    <x v="4"/>
    <x v="4"/>
    <x v="0"/>
    <s v="Nagpur"/>
    <s v="Priya Nair"/>
    <s v="Corporate"/>
    <x v="0"/>
    <s v="Monitor"/>
    <n v="5"/>
    <n v="211.16"/>
    <n v="0"/>
    <n v="1055.8"/>
    <n v="632.29999999999995"/>
    <n v="423.5"/>
    <s v="Debit Card"/>
  </r>
  <r>
    <s v="ORD-0265"/>
    <d v="2025-09-19T00:00:00"/>
    <x v="11"/>
    <x v="11"/>
    <x v="3"/>
    <s v="Jaipur"/>
    <s v="Priya Nair"/>
    <s v="Consumer"/>
    <x v="2"/>
    <s v="Notebook Pack"/>
    <n v="3"/>
    <n v="12.3"/>
    <n v="0.05"/>
    <n v="35.06"/>
    <n v="20.93"/>
    <n v="14.13"/>
    <s v="Credit Card"/>
  </r>
  <r>
    <s v="ORD-0266"/>
    <d v="2025-01-23T00:00:00"/>
    <x v="2"/>
    <x v="2"/>
    <x v="3"/>
    <s v="Jaipur"/>
    <s v="Karan Patel"/>
    <s v="Consumer"/>
    <x v="0"/>
    <s v="Keyboard"/>
    <n v="1"/>
    <n v="44.1"/>
    <n v="0"/>
    <n v="44.1"/>
    <n v="25.3"/>
    <n v="18.8"/>
    <s v="Net Banking"/>
  </r>
  <r>
    <s v="ORD-0267"/>
    <d v="2025-05-08T00:00:00"/>
    <x v="8"/>
    <x v="8"/>
    <x v="3"/>
    <s v="Delhi"/>
    <s v="Ananya Rao"/>
    <s v="Small Business"/>
    <x v="2"/>
    <s v="Pens Set"/>
    <n v="2"/>
    <n v="9.17"/>
    <n v="0.05"/>
    <n v="17.420000000000002"/>
    <n v="10.19"/>
    <n v="7.23"/>
    <s v="Credit Card"/>
  </r>
  <r>
    <s v="ORD-0268"/>
    <d v="2025-07-25T00:00:00"/>
    <x v="5"/>
    <x v="5"/>
    <x v="0"/>
    <s v="Indore"/>
    <s v="Aarav Sharma"/>
    <s v="Corporate"/>
    <x v="0"/>
    <s v="Headphones"/>
    <n v="5"/>
    <n v="85.61"/>
    <n v="0.05"/>
    <n v="406.65"/>
    <n v="264.62"/>
    <n v="142.03"/>
    <s v="UPI"/>
  </r>
  <r>
    <s v="ORD-0269"/>
    <d v="2025-05-30T00:00:00"/>
    <x v="8"/>
    <x v="8"/>
    <x v="1"/>
    <s v="Mumbai"/>
    <s v="Ananya Rao"/>
    <s v="Consumer"/>
    <x v="1"/>
    <s v="Bookshelf"/>
    <n v="4"/>
    <n v="143.01"/>
    <n v="0.05"/>
    <n v="543.44000000000005"/>
    <n v="399"/>
    <n v="144.44"/>
    <s v="Credit Card"/>
  </r>
  <r>
    <s v="ORD-0270"/>
    <d v="2025-07-29T00:00:00"/>
    <x v="5"/>
    <x v="5"/>
    <x v="3"/>
    <s v="Jaipur"/>
    <s v="Karan Patel"/>
    <s v="Small Business"/>
    <x v="0"/>
    <s v="Keyboard"/>
    <n v="3"/>
    <n v="46.8"/>
    <n v="0"/>
    <n v="140.4"/>
    <n v="113.06"/>
    <n v="27.34"/>
    <s v="Net Banking"/>
  </r>
  <r>
    <s v="ORD-0271"/>
    <d v="2025-02-23T00:00:00"/>
    <x v="1"/>
    <x v="1"/>
    <x v="4"/>
    <s v="Hyderabad"/>
    <s v="Vikram Singh"/>
    <s v="Consumer"/>
    <x v="0"/>
    <s v="USB-C Hub"/>
    <n v="10"/>
    <n v="54.58"/>
    <n v="0"/>
    <n v="545.79999999999995"/>
    <n v="443.06"/>
    <n v="102.74"/>
    <s v="Credit Card"/>
  </r>
  <r>
    <s v="ORD-0272"/>
    <d v="2025-04-29T00:00:00"/>
    <x v="6"/>
    <x v="6"/>
    <x v="0"/>
    <s v="Bhopal"/>
    <s v="Karan Patel"/>
    <s v="Consumer"/>
    <x v="1"/>
    <s v="Filing Cabinet"/>
    <n v="4"/>
    <n v="206.21"/>
    <n v="0"/>
    <n v="824.84"/>
    <n v="572.63"/>
    <n v="252.21"/>
    <s v="Credit Card"/>
  </r>
  <r>
    <s v="ORD-0273"/>
    <d v="2025-08-11T00:00:00"/>
    <x v="10"/>
    <x v="10"/>
    <x v="1"/>
    <s v="Ahmedabad"/>
    <s v="Meera Iyer"/>
    <s v="Corporate"/>
    <x v="1"/>
    <s v="Desk"/>
    <n v="1"/>
    <n v="306.37"/>
    <n v="0.05"/>
    <n v="291.05"/>
    <n v="244.43"/>
    <n v="46.62"/>
    <s v="Debit Card"/>
  </r>
  <r>
    <s v="ORD-0274"/>
    <d v="2025-05-20T00:00:00"/>
    <x v="8"/>
    <x v="8"/>
    <x v="3"/>
    <s v="Delhi"/>
    <s v="Neha Das"/>
    <s v="Corporate"/>
    <x v="0"/>
    <s v="Wireless Mouse"/>
    <n v="8"/>
    <n v="23.25"/>
    <n v="0.15"/>
    <n v="158.1"/>
    <n v="102.8"/>
    <n v="55.3"/>
    <s v="Net Banking"/>
  </r>
  <r>
    <s v="ORD-0275"/>
    <d v="2025-07-28T00:00:00"/>
    <x v="5"/>
    <x v="5"/>
    <x v="2"/>
    <s v="Kolkata"/>
    <s v="Priya Nair"/>
    <s v="Consumer"/>
    <x v="0"/>
    <s v="USB-C Hub"/>
    <n v="2"/>
    <n v="58.82"/>
    <n v="0.1"/>
    <n v="105.88"/>
    <n v="72.05"/>
    <n v="33.83"/>
    <s v="Net Banking"/>
  </r>
  <r>
    <s v="ORD-0276"/>
    <d v="2025-12-27T00:00:00"/>
    <x v="3"/>
    <x v="3"/>
    <x v="4"/>
    <s v="Chennai"/>
    <s v="Karan Patel"/>
    <s v="Small Business"/>
    <x v="1"/>
    <s v="Desk Lamp"/>
    <n v="1"/>
    <n v="43.36"/>
    <n v="0.05"/>
    <n v="41.19"/>
    <n v="24.48"/>
    <n v="16.71"/>
    <s v="Credit Card"/>
  </r>
  <r>
    <s v="ORD-0277"/>
    <d v="2025-12-13T00:00:00"/>
    <x v="3"/>
    <x v="3"/>
    <x v="0"/>
    <s v="Nagpur"/>
    <s v="Ananya Rao"/>
    <s v="Consumer"/>
    <x v="2"/>
    <s v="Pens Set"/>
    <n v="5"/>
    <n v="9.3800000000000008"/>
    <n v="0.1"/>
    <n v="42.21"/>
    <n v="36.409999999999997"/>
    <n v="5.8"/>
    <s v="Debit Card"/>
  </r>
  <r>
    <s v="ORD-0278"/>
    <d v="2025-02-22T00:00:00"/>
    <x v="1"/>
    <x v="1"/>
    <x v="1"/>
    <s v="Pune"/>
    <s v="Priya Nair"/>
    <s v="Small Business"/>
    <x v="0"/>
    <s v="Wireless Mouse"/>
    <n v="1"/>
    <n v="27.07"/>
    <n v="0"/>
    <n v="27.07"/>
    <n v="15.14"/>
    <n v="11.93"/>
    <s v="Net Banking"/>
  </r>
  <r>
    <s v="ORD-0279"/>
    <d v="2025-02-08T00:00:00"/>
    <x v="1"/>
    <x v="1"/>
    <x v="2"/>
    <s v="Kolkata"/>
    <s v="Aarav Sharma"/>
    <s v="Corporate"/>
    <x v="0"/>
    <s v="Wireless Mouse"/>
    <n v="1"/>
    <n v="26.05"/>
    <n v="0"/>
    <n v="26.05"/>
    <n v="14.26"/>
    <n v="11.79"/>
    <s v="Credit Card"/>
  </r>
  <r>
    <s v="ORD-0280"/>
    <d v="2025-03-28T00:00:00"/>
    <x v="4"/>
    <x v="4"/>
    <x v="1"/>
    <s v="Mumbai"/>
    <s v="Meera Iyer"/>
    <s v="Consumer"/>
    <x v="1"/>
    <s v="Filing Cabinet"/>
    <n v="5"/>
    <n v="207.25"/>
    <n v="0"/>
    <n v="1036.25"/>
    <n v="657.83"/>
    <n v="378.42"/>
    <s v="UPI"/>
  </r>
  <r>
    <s v="ORD-0281"/>
    <d v="2025-05-21T00:00:00"/>
    <x v="8"/>
    <x v="8"/>
    <x v="2"/>
    <s v="Bhubaneswar"/>
    <s v="Karan Patel"/>
    <s v="Small Business"/>
    <x v="2"/>
    <s v="Desk Organizer"/>
    <n v="6"/>
    <n v="25.41"/>
    <n v="0.15"/>
    <n v="129.59"/>
    <n v="107.5"/>
    <n v="22.09"/>
    <s v="Debit Card"/>
  </r>
  <r>
    <s v="ORD-0282"/>
    <d v="2025-02-01T00:00:00"/>
    <x v="1"/>
    <x v="1"/>
    <x v="0"/>
    <s v="Bhopal"/>
    <s v="Karan Patel"/>
    <s v="Small Business"/>
    <x v="0"/>
    <s v="Monitor"/>
    <n v="2"/>
    <n v="218.29"/>
    <n v="0.15"/>
    <n v="371.09"/>
    <n v="259.64999999999998"/>
    <n v="111.44"/>
    <s v="Net Banking"/>
  </r>
  <r>
    <s v="ORD-0283"/>
    <d v="2025-09-03T00:00:00"/>
    <x v="11"/>
    <x v="11"/>
    <x v="4"/>
    <s v="Bengaluru"/>
    <s v="Meera Iyer"/>
    <s v="Small Business"/>
    <x v="1"/>
    <s v="Filing Cabinet"/>
    <n v="2"/>
    <n v="215.13"/>
    <n v="0.05"/>
    <n v="408.75"/>
    <n v="273.87"/>
    <n v="134.88"/>
    <s v="UPI"/>
  </r>
  <r>
    <s v="ORD-0284"/>
    <d v="2025-01-16T00:00:00"/>
    <x v="2"/>
    <x v="2"/>
    <x v="4"/>
    <s v="Bengaluru"/>
    <s v="Priya Nair"/>
    <s v="Consumer"/>
    <x v="2"/>
    <s v="Notebook Pack"/>
    <n v="5"/>
    <n v="12.05"/>
    <n v="0.05"/>
    <n v="57.24"/>
    <n v="45.19"/>
    <n v="12.05"/>
    <s v="UPI"/>
  </r>
  <r>
    <s v="ORD-0285"/>
    <d v="2025-05-17T00:00:00"/>
    <x v="8"/>
    <x v="8"/>
    <x v="1"/>
    <s v="Pune"/>
    <s v="Rohan Mehta"/>
    <s v="Consumer"/>
    <x v="1"/>
    <s v="Office Chair"/>
    <n v="4"/>
    <n v="199.53"/>
    <n v="0.15"/>
    <n v="678.4"/>
    <n v="617.71"/>
    <n v="60.69"/>
    <s v="UPI"/>
  </r>
  <r>
    <s v="ORD-0286"/>
    <d v="2025-10-31T00:00:00"/>
    <x v="7"/>
    <x v="7"/>
    <x v="0"/>
    <s v="Bhopal"/>
    <s v="Ananya Rao"/>
    <s v="Corporate"/>
    <x v="2"/>
    <s v="Pens Set"/>
    <n v="6"/>
    <n v="9.06"/>
    <n v="0.05"/>
    <n v="51.64"/>
    <n v="43.72"/>
    <n v="7.92"/>
    <s v="Net Banking"/>
  </r>
  <r>
    <s v="ORD-0287"/>
    <d v="2025-03-31T00:00:00"/>
    <x v="4"/>
    <x v="4"/>
    <x v="1"/>
    <s v="Mumbai"/>
    <s v="Meera Iyer"/>
    <s v="Small Business"/>
    <x v="2"/>
    <s v="Notebook Pack"/>
    <n v="1"/>
    <n v="11.41"/>
    <n v="0"/>
    <n v="11.41"/>
    <n v="6"/>
    <n v="5.41"/>
    <s v="UPI"/>
  </r>
  <r>
    <s v="ORD-0288"/>
    <d v="2025-03-08T00:00:00"/>
    <x v="4"/>
    <x v="4"/>
    <x v="4"/>
    <s v="Hyderabad"/>
    <s v="Rohan Mehta"/>
    <s v="Consumer"/>
    <x v="2"/>
    <s v="Printer Paper"/>
    <n v="6"/>
    <n v="8.69"/>
    <n v="0.05"/>
    <n v="49.53"/>
    <n v="28.04"/>
    <n v="21.49"/>
    <s v="Net Banking"/>
  </r>
  <r>
    <s v="ORD-0289"/>
    <d v="2025-02-07T00:00:00"/>
    <x v="1"/>
    <x v="1"/>
    <x v="4"/>
    <s v="Hyderabad"/>
    <s v="Karan Patel"/>
    <s v="Small Business"/>
    <x v="2"/>
    <s v="Desk Organizer"/>
    <n v="3"/>
    <n v="27.27"/>
    <n v="0.05"/>
    <n v="77.72"/>
    <n v="45.89"/>
    <n v="31.83"/>
    <s v="Debit Card"/>
  </r>
  <r>
    <s v="ORD-0290"/>
    <d v="2025-11-29T00:00:00"/>
    <x v="0"/>
    <x v="0"/>
    <x v="4"/>
    <s v="Hyderabad"/>
    <s v="Rohan Mehta"/>
    <s v="Corporate"/>
    <x v="2"/>
    <s v="Printer Paper"/>
    <n v="4"/>
    <n v="8.19"/>
    <n v="0.15"/>
    <n v="27.85"/>
    <n v="24.77"/>
    <n v="3.08"/>
    <s v="Net Banking"/>
  </r>
  <r>
    <s v="ORD-0291"/>
    <d v="2025-12-19T00:00:00"/>
    <x v="3"/>
    <x v="3"/>
    <x v="0"/>
    <s v="Bhopal"/>
    <s v="Rohan Mehta"/>
    <s v="Small Business"/>
    <x v="2"/>
    <s v="Printer Paper"/>
    <n v="1"/>
    <n v="7.2"/>
    <n v="0.15"/>
    <n v="6.12"/>
    <n v="4.59"/>
    <n v="1.53"/>
    <s v="Net Banking"/>
  </r>
  <r>
    <s v="ORD-0292"/>
    <d v="2025-11-10T00:00:00"/>
    <x v="0"/>
    <x v="0"/>
    <x v="4"/>
    <s v="Chennai"/>
    <s v="Meera Iyer"/>
    <s v="Consumer"/>
    <x v="0"/>
    <s v="USB-C Hub"/>
    <n v="1"/>
    <n v="55.5"/>
    <n v="0.05"/>
    <n v="52.72"/>
    <n v="41.27"/>
    <n v="11.45"/>
    <s v="Credit Card"/>
  </r>
  <r>
    <s v="ORD-0293"/>
    <d v="2025-12-29T00:00:00"/>
    <x v="3"/>
    <x v="3"/>
    <x v="2"/>
    <s v="Bhubaneswar"/>
    <s v="Priya Nair"/>
    <s v="Small Business"/>
    <x v="1"/>
    <s v="Bookshelf"/>
    <n v="2"/>
    <n v="143.75"/>
    <n v="0"/>
    <n v="287.5"/>
    <n v="209.29"/>
    <n v="78.209999999999994"/>
    <s v="Credit Card"/>
  </r>
  <r>
    <s v="ORD-0294"/>
    <d v="2025-01-25T00:00:00"/>
    <x v="2"/>
    <x v="2"/>
    <x v="1"/>
    <s v="Pune"/>
    <s v="Karan Patel"/>
    <s v="Consumer"/>
    <x v="2"/>
    <s v="Desk Organizer"/>
    <n v="4"/>
    <n v="31.17"/>
    <n v="0.1"/>
    <n v="112.21"/>
    <n v="83.28"/>
    <n v="28.93"/>
    <s v="Debit Card"/>
  </r>
  <r>
    <s v="ORD-0295"/>
    <d v="2025-10-23T00:00:00"/>
    <x v="7"/>
    <x v="7"/>
    <x v="2"/>
    <s v="Bhubaneswar"/>
    <s v="Priya Nair"/>
    <s v="Consumer"/>
    <x v="1"/>
    <s v="Desk"/>
    <n v="1"/>
    <n v="293.19"/>
    <n v="0"/>
    <n v="293.19"/>
    <n v="178.4"/>
    <n v="114.79"/>
    <s v="Net Banking"/>
  </r>
  <r>
    <s v="ORD-0296"/>
    <d v="2025-03-29T00:00:00"/>
    <x v="4"/>
    <x v="4"/>
    <x v="0"/>
    <s v="Indore"/>
    <s v="Aarav Sharma"/>
    <s v="Corporate"/>
    <x v="2"/>
    <s v="Printer Paper"/>
    <n v="4"/>
    <n v="8.16"/>
    <n v="0"/>
    <n v="32.64"/>
    <n v="20.28"/>
    <n v="12.36"/>
    <s v="UPI"/>
  </r>
  <r>
    <s v="ORD-0297"/>
    <d v="2025-11-07T00:00:00"/>
    <x v="0"/>
    <x v="0"/>
    <x v="0"/>
    <s v="Nagpur"/>
    <s v="Vikram Singh"/>
    <s v="Small Business"/>
    <x v="2"/>
    <s v="Printer Paper"/>
    <n v="1"/>
    <n v="7.78"/>
    <n v="0"/>
    <n v="7.78"/>
    <n v="5"/>
    <n v="2.78"/>
    <s v="Net Banking"/>
  </r>
  <r>
    <s v="ORD-0298"/>
    <d v="2025-06-02T00:00:00"/>
    <x v="9"/>
    <x v="9"/>
    <x v="2"/>
    <s v="Kolkata"/>
    <s v="Karan Patel"/>
    <s v="Consumer"/>
    <x v="0"/>
    <s v="Wireless Mouse"/>
    <n v="1"/>
    <n v="25.64"/>
    <n v="0.1"/>
    <n v="23.08"/>
    <n v="14.51"/>
    <n v="8.57"/>
    <s v="Net Banking"/>
  </r>
  <r>
    <s v="ORD-0299"/>
    <d v="2025-12-05T00:00:00"/>
    <x v="3"/>
    <x v="3"/>
    <x v="2"/>
    <s v="Kolkata"/>
    <s v="Neha Das"/>
    <s v="Consumer"/>
    <x v="1"/>
    <s v="Desk Lamp"/>
    <n v="2"/>
    <n v="36.85"/>
    <n v="0"/>
    <n v="73.7"/>
    <n v="42.1"/>
    <n v="31.6"/>
    <s v="Net Banking"/>
  </r>
  <r>
    <s v="ORD-0300"/>
    <d v="2025-07-23T00:00:00"/>
    <x v="5"/>
    <x v="5"/>
    <x v="2"/>
    <s v="Bhubaneswar"/>
    <s v="Meera Iyer"/>
    <s v="Consumer"/>
    <x v="2"/>
    <s v="Desk Organizer"/>
    <n v="6"/>
    <n v="26.83"/>
    <n v="0.15"/>
    <n v="136.83000000000001"/>
    <n v="102.42"/>
    <n v="34.409999999999997"/>
    <s v="Debit Card"/>
  </r>
  <r>
    <s v="ORD-0301"/>
    <d v="2025-01-23T00:00:00"/>
    <x v="2"/>
    <x v="2"/>
    <x v="4"/>
    <s v="Hyderabad"/>
    <s v="Priya Nair"/>
    <s v="Consumer"/>
    <x v="2"/>
    <s v="Desk Organizer"/>
    <n v="2"/>
    <n v="26.59"/>
    <n v="0.05"/>
    <n v="50.52"/>
    <n v="36.659999999999997"/>
    <n v="13.86"/>
    <s v="Net Banking"/>
  </r>
  <r>
    <s v="ORD-0302"/>
    <d v="2025-10-05T00:00:00"/>
    <x v="7"/>
    <x v="7"/>
    <x v="1"/>
    <s v="Ahmedabad"/>
    <s v="Neha Das"/>
    <s v="Small Business"/>
    <x v="2"/>
    <s v="Stapler"/>
    <n v="1"/>
    <n v="13.7"/>
    <n v="0.1"/>
    <n v="12.33"/>
    <n v="10.49"/>
    <n v="1.84"/>
    <s v="UPI"/>
  </r>
  <r>
    <s v="ORD-0303"/>
    <d v="2025-09-01T00:00:00"/>
    <x v="11"/>
    <x v="11"/>
    <x v="0"/>
    <s v="Nagpur"/>
    <s v="Rohan Mehta"/>
    <s v="Consumer"/>
    <x v="2"/>
    <s v="Notebook Pack"/>
    <n v="2"/>
    <n v="13.05"/>
    <n v="0"/>
    <n v="26.1"/>
    <n v="17.5"/>
    <n v="8.6"/>
    <s v="Debit Card"/>
  </r>
  <r>
    <s v="ORD-0304"/>
    <d v="2025-03-30T00:00:00"/>
    <x v="4"/>
    <x v="4"/>
    <x v="1"/>
    <s v="Mumbai"/>
    <s v="Rohan Mehta"/>
    <s v="Small Business"/>
    <x v="0"/>
    <s v="Keyboard"/>
    <n v="5"/>
    <n v="41.75"/>
    <n v="0.1"/>
    <n v="187.88"/>
    <n v="113.46"/>
    <n v="74.42"/>
    <s v="Net Banking"/>
  </r>
  <r>
    <s v="ORD-0305"/>
    <d v="2025-06-13T00:00:00"/>
    <x v="9"/>
    <x v="9"/>
    <x v="2"/>
    <s v="Guwahati"/>
    <s v="Neha Das"/>
    <s v="Consumer"/>
    <x v="1"/>
    <s v="Office Chair"/>
    <n v="1"/>
    <n v="184.03"/>
    <n v="0.15"/>
    <n v="156.43"/>
    <n v="113.7"/>
    <n v="42.73"/>
    <s v="Debit Card"/>
  </r>
  <r>
    <s v="ORD-0306"/>
    <d v="2025-02-27T00:00:00"/>
    <x v="1"/>
    <x v="1"/>
    <x v="0"/>
    <s v="Bhopal"/>
    <s v="Vikram Singh"/>
    <s v="Small Business"/>
    <x v="2"/>
    <s v="Printer Paper"/>
    <n v="1"/>
    <n v="8.23"/>
    <n v="0"/>
    <n v="8.23"/>
    <n v="6.56"/>
    <n v="1.67"/>
    <s v="Net Banking"/>
  </r>
  <r>
    <s v="ORD-0307"/>
    <d v="2025-07-30T00:00:00"/>
    <x v="5"/>
    <x v="5"/>
    <x v="2"/>
    <s v="Bhubaneswar"/>
    <s v="Rohan Mehta"/>
    <s v="Small Business"/>
    <x v="2"/>
    <s v="Desk Organizer"/>
    <n v="3"/>
    <n v="28.72"/>
    <n v="0.1"/>
    <n v="77.540000000000006"/>
    <n v="45.77"/>
    <n v="31.77"/>
    <s v="Debit Card"/>
  </r>
  <r>
    <s v="ORD-0308"/>
    <d v="2025-01-20T00:00:00"/>
    <x v="2"/>
    <x v="2"/>
    <x v="2"/>
    <s v="Kolkata"/>
    <s v="Meera Iyer"/>
    <s v="Corporate"/>
    <x v="2"/>
    <s v="Pens Set"/>
    <n v="4"/>
    <n v="9.11"/>
    <n v="0.1"/>
    <n v="32.799999999999997"/>
    <n v="29.02"/>
    <n v="3.78"/>
    <s v="Net Banking"/>
  </r>
  <r>
    <s v="ORD-0309"/>
    <d v="2025-05-24T00:00:00"/>
    <x v="8"/>
    <x v="8"/>
    <x v="1"/>
    <s v="Pune"/>
    <s v="Vikram Singh"/>
    <s v="Small Business"/>
    <x v="2"/>
    <s v="Notebook Pack"/>
    <n v="8"/>
    <n v="11.4"/>
    <n v="0.05"/>
    <n v="86.64"/>
    <n v="74.08"/>
    <n v="12.56"/>
    <s v="Debit Card"/>
  </r>
  <r>
    <s v="ORD-0310"/>
    <d v="2025-11-06T00:00:00"/>
    <x v="0"/>
    <x v="0"/>
    <x v="0"/>
    <s v="Indore"/>
    <s v="Aarav Sharma"/>
    <s v="Small Business"/>
    <x v="1"/>
    <s v="Office Chair"/>
    <n v="1"/>
    <n v="170.37"/>
    <n v="0.1"/>
    <n v="153.33000000000001"/>
    <n v="126.46"/>
    <n v="26.87"/>
    <s v="UPI"/>
  </r>
  <r>
    <s v="ORD-0311"/>
    <d v="2025-02-03T00:00:00"/>
    <x v="1"/>
    <x v="1"/>
    <x v="3"/>
    <s v="Delhi"/>
    <s v="Ananya Rao"/>
    <s v="Consumer"/>
    <x v="2"/>
    <s v="Stapler"/>
    <n v="2"/>
    <n v="16.079999999999998"/>
    <n v="0.15"/>
    <n v="27.34"/>
    <n v="25.21"/>
    <n v="2.13"/>
    <s v="Credit Card"/>
  </r>
  <r>
    <s v="ORD-0312"/>
    <d v="2025-05-08T00:00:00"/>
    <x v="8"/>
    <x v="8"/>
    <x v="1"/>
    <s v="Ahmedabad"/>
    <s v="Karan Patel"/>
    <s v="Small Business"/>
    <x v="0"/>
    <s v="Headphones"/>
    <n v="1"/>
    <n v="78.34"/>
    <n v="0"/>
    <n v="78.34"/>
    <n v="47.18"/>
    <n v="31.16"/>
    <s v="Credit Card"/>
  </r>
  <r>
    <s v="ORD-0313"/>
    <d v="2025-12-15T00:00:00"/>
    <x v="3"/>
    <x v="3"/>
    <x v="1"/>
    <s v="Ahmedabad"/>
    <s v="Meera Iyer"/>
    <s v="Corporate"/>
    <x v="0"/>
    <s v="Keyboard"/>
    <n v="2"/>
    <n v="46.38"/>
    <n v="0"/>
    <n v="92.76"/>
    <n v="74.959999999999994"/>
    <n v="17.8"/>
    <s v="UPI"/>
  </r>
  <r>
    <s v="ORD-0314"/>
    <d v="2025-05-13T00:00:00"/>
    <x v="8"/>
    <x v="8"/>
    <x v="4"/>
    <s v="Bengaluru"/>
    <s v="Ananya Rao"/>
    <s v="Small Business"/>
    <x v="1"/>
    <s v="Office Chair"/>
    <n v="2"/>
    <n v="177.31"/>
    <n v="0"/>
    <n v="354.62"/>
    <n v="275.24"/>
    <n v="79.38"/>
    <s v="UPI"/>
  </r>
  <r>
    <s v="ORD-0315"/>
    <d v="2025-05-18T00:00:00"/>
    <x v="8"/>
    <x v="8"/>
    <x v="4"/>
    <s v="Hyderabad"/>
    <s v="Rohan Mehta"/>
    <s v="Small Business"/>
    <x v="1"/>
    <s v="Filing Cabinet"/>
    <n v="3"/>
    <n v="228.95"/>
    <n v="0"/>
    <n v="686.85"/>
    <n v="454.85"/>
    <n v="232"/>
    <s v="Credit Card"/>
  </r>
  <r>
    <s v="ORD-0316"/>
    <d v="2025-04-25T00:00:00"/>
    <x v="6"/>
    <x v="6"/>
    <x v="1"/>
    <s v="Pune"/>
    <s v="Neha Das"/>
    <s v="Corporate"/>
    <x v="2"/>
    <s v="Stapler"/>
    <n v="5"/>
    <n v="14.51"/>
    <n v="0.05"/>
    <n v="68.92"/>
    <n v="46.95"/>
    <n v="21.97"/>
    <s v="UPI"/>
  </r>
  <r>
    <s v="ORD-0317"/>
    <d v="2025-08-27T00:00:00"/>
    <x v="10"/>
    <x v="10"/>
    <x v="2"/>
    <s v="Guwahati"/>
    <s v="Vikram Singh"/>
    <s v="Corporate"/>
    <x v="2"/>
    <s v="Stapler"/>
    <n v="5"/>
    <n v="14.81"/>
    <n v="0"/>
    <n v="74.05"/>
    <n v="38.67"/>
    <n v="35.380000000000003"/>
    <s v="Credit Card"/>
  </r>
  <r>
    <s v="ORD-0318"/>
    <d v="2025-09-04T00:00:00"/>
    <x v="11"/>
    <x v="11"/>
    <x v="2"/>
    <s v="Kolkata"/>
    <s v="Rohan Mehta"/>
    <s v="Small Business"/>
    <x v="0"/>
    <s v="Monitor"/>
    <n v="10"/>
    <n v="229"/>
    <n v="0.05"/>
    <n v="2175.5"/>
    <n v="1370.21"/>
    <n v="805.29"/>
    <s v="UPI"/>
  </r>
  <r>
    <s v="ORD-0319"/>
    <d v="2025-01-30T00:00:00"/>
    <x v="2"/>
    <x v="2"/>
    <x v="2"/>
    <s v="Bhubaneswar"/>
    <s v="Karan Patel"/>
    <s v="Corporate"/>
    <x v="1"/>
    <s v="Filing Cabinet"/>
    <n v="3"/>
    <n v="220.45"/>
    <n v="0"/>
    <n v="661.35"/>
    <n v="473.94"/>
    <n v="187.41"/>
    <s v="Debit Card"/>
  </r>
  <r>
    <s v="ORD-0320"/>
    <d v="2025-01-19T00:00:00"/>
    <x v="2"/>
    <x v="2"/>
    <x v="1"/>
    <s v="Ahmedabad"/>
    <s v="Meera Iyer"/>
    <s v="Small Business"/>
    <x v="1"/>
    <s v="Desk Lamp"/>
    <n v="5"/>
    <n v="39.020000000000003"/>
    <n v="0"/>
    <n v="195.1"/>
    <n v="141.62"/>
    <n v="53.48"/>
    <s v="Net Banking"/>
  </r>
  <r>
    <s v="ORD-0321"/>
    <d v="2025-03-29T00:00:00"/>
    <x v="4"/>
    <x v="4"/>
    <x v="0"/>
    <s v="Bhopal"/>
    <s v="Meera Iyer"/>
    <s v="Small Business"/>
    <x v="1"/>
    <s v="Desk Lamp"/>
    <n v="1"/>
    <n v="36.86"/>
    <n v="0"/>
    <n v="36.86"/>
    <n v="27.36"/>
    <n v="9.5"/>
    <s v="Credit Card"/>
  </r>
  <r>
    <s v="ORD-0322"/>
    <d v="2025-04-24T00:00:00"/>
    <x v="6"/>
    <x v="6"/>
    <x v="0"/>
    <s v="Indore"/>
    <s v="Neha Das"/>
    <s v="Consumer"/>
    <x v="2"/>
    <s v="Printer Paper"/>
    <n v="4"/>
    <n v="7.74"/>
    <n v="0.05"/>
    <n v="29.41"/>
    <n v="19.55"/>
    <n v="9.86"/>
    <s v="Debit Card"/>
  </r>
  <r>
    <s v="ORD-0323"/>
    <d v="2025-01-28T00:00:00"/>
    <x v="2"/>
    <x v="2"/>
    <x v="0"/>
    <s v="Bhopal"/>
    <s v="Karan Patel"/>
    <s v="Small Business"/>
    <x v="1"/>
    <s v="Desk Lamp"/>
    <n v="3"/>
    <n v="41.46"/>
    <n v="0.1"/>
    <n v="111.94"/>
    <n v="97.87"/>
    <n v="14.07"/>
    <s v="Net Banking"/>
  </r>
  <r>
    <s v="ORD-0324"/>
    <d v="2025-07-31T00:00:00"/>
    <x v="5"/>
    <x v="5"/>
    <x v="1"/>
    <s v="Mumbai"/>
    <s v="Meera Iyer"/>
    <s v="Small Business"/>
    <x v="0"/>
    <s v="Keyboard"/>
    <n v="1"/>
    <n v="42.48"/>
    <n v="0.1"/>
    <n v="38.229999999999997"/>
    <n v="34.67"/>
    <n v="3.56"/>
    <s v="UPI"/>
  </r>
  <r>
    <s v="ORD-0325"/>
    <d v="2025-02-11T00:00:00"/>
    <x v="1"/>
    <x v="1"/>
    <x v="2"/>
    <s v="Kolkata"/>
    <s v="Rohan Mehta"/>
    <s v="Small Business"/>
    <x v="2"/>
    <s v="Pens Set"/>
    <n v="3"/>
    <n v="9.39"/>
    <n v="0"/>
    <n v="28.17"/>
    <n v="14.69"/>
    <n v="13.48"/>
    <s v="UPI"/>
  </r>
  <r>
    <s v="ORD-0326"/>
    <d v="2025-09-08T00:00:00"/>
    <x v="11"/>
    <x v="11"/>
    <x v="1"/>
    <s v="Pune"/>
    <s v="Aarav Sharma"/>
    <s v="Consumer"/>
    <x v="0"/>
    <s v="Keyboard"/>
    <n v="3"/>
    <n v="46.77"/>
    <n v="0.1"/>
    <n v="126.28"/>
    <n v="91.02"/>
    <n v="35.26"/>
    <s v="UPI"/>
  </r>
  <r>
    <s v="ORD-0327"/>
    <d v="2025-07-11T00:00:00"/>
    <x v="5"/>
    <x v="5"/>
    <x v="4"/>
    <s v="Bengaluru"/>
    <s v="Meera Iyer"/>
    <s v="Corporate"/>
    <x v="0"/>
    <s v="Monitor"/>
    <n v="4"/>
    <n v="223.7"/>
    <n v="0"/>
    <n v="894.8"/>
    <n v="646.96"/>
    <n v="247.84"/>
    <s v="UPI"/>
  </r>
  <r>
    <s v="ORD-0328"/>
    <d v="2025-02-22T00:00:00"/>
    <x v="1"/>
    <x v="1"/>
    <x v="2"/>
    <s v="Bhubaneswar"/>
    <s v="Meera Iyer"/>
    <s v="Corporate"/>
    <x v="2"/>
    <s v="Stapler"/>
    <n v="3"/>
    <n v="14.05"/>
    <n v="0"/>
    <n v="42.15"/>
    <n v="25.69"/>
    <n v="16.46"/>
    <s v="UPI"/>
  </r>
  <r>
    <s v="ORD-0329"/>
    <d v="2025-06-25T00:00:00"/>
    <x v="9"/>
    <x v="9"/>
    <x v="4"/>
    <s v="Hyderabad"/>
    <s v="Rohan Mehta"/>
    <s v="Consumer"/>
    <x v="2"/>
    <s v="Pens Set"/>
    <n v="4"/>
    <n v="9.36"/>
    <n v="0.1"/>
    <n v="33.700000000000003"/>
    <n v="19.68"/>
    <n v="14.02"/>
    <s v="Credit Card"/>
  </r>
  <r>
    <s v="ORD-0330"/>
    <d v="2025-10-29T00:00:00"/>
    <x v="7"/>
    <x v="7"/>
    <x v="2"/>
    <s v="Guwahati"/>
    <s v="Aarav Sharma"/>
    <s v="Small Business"/>
    <x v="1"/>
    <s v="Desk"/>
    <n v="1"/>
    <n v="338.06"/>
    <n v="0"/>
    <n v="338.06"/>
    <n v="213.84"/>
    <n v="124.22"/>
    <s v="Credit Card"/>
  </r>
  <r>
    <s v="ORD-0331"/>
    <d v="2025-12-05T00:00:00"/>
    <x v="3"/>
    <x v="3"/>
    <x v="0"/>
    <s v="Indore"/>
    <s v="Neha Das"/>
    <s v="Small Business"/>
    <x v="0"/>
    <s v="Wireless Mouse"/>
    <n v="1"/>
    <n v="23.14"/>
    <n v="0.1"/>
    <n v="20.83"/>
    <n v="14.67"/>
    <n v="6.16"/>
    <s v="UPI"/>
  </r>
  <r>
    <s v="ORD-0332"/>
    <d v="2025-04-16T00:00:00"/>
    <x v="6"/>
    <x v="6"/>
    <x v="0"/>
    <s v="Nagpur"/>
    <s v="Rohan Mehta"/>
    <s v="Corporate"/>
    <x v="1"/>
    <s v="Office Chair"/>
    <n v="2"/>
    <n v="188.2"/>
    <n v="0.15"/>
    <n v="319.94"/>
    <n v="226.21"/>
    <n v="93.73"/>
    <s v="Credit Card"/>
  </r>
  <r>
    <s v="ORD-0333"/>
    <d v="2025-09-19T00:00:00"/>
    <x v="11"/>
    <x v="11"/>
    <x v="0"/>
    <s v="Bhopal"/>
    <s v="Vikram Singh"/>
    <s v="Small Business"/>
    <x v="1"/>
    <s v="Desk Lamp"/>
    <n v="1"/>
    <n v="37"/>
    <n v="0"/>
    <n v="37"/>
    <n v="24.76"/>
    <n v="12.24"/>
    <s v="UPI"/>
  </r>
  <r>
    <s v="ORD-0334"/>
    <d v="2025-07-03T00:00:00"/>
    <x v="5"/>
    <x v="5"/>
    <x v="1"/>
    <s v="Pune"/>
    <s v="Ananya Rao"/>
    <s v="Consumer"/>
    <x v="1"/>
    <s v="Filing Cabinet"/>
    <n v="2"/>
    <n v="190.82"/>
    <n v="0.1"/>
    <n v="343.48"/>
    <n v="302.68"/>
    <n v="40.799999999999997"/>
    <s v="Credit Card"/>
  </r>
  <r>
    <s v="ORD-0335"/>
    <d v="2025-12-10T00:00:00"/>
    <x v="3"/>
    <x v="3"/>
    <x v="0"/>
    <s v="Bhopal"/>
    <s v="Priya Nair"/>
    <s v="Corporate"/>
    <x v="0"/>
    <s v="Wireless Mouse"/>
    <n v="5"/>
    <n v="26.18"/>
    <n v="0"/>
    <n v="130.9"/>
    <n v="105.35"/>
    <n v="25.55"/>
    <s v="UPI"/>
  </r>
  <r>
    <s v="ORD-0336"/>
    <d v="2025-08-22T00:00:00"/>
    <x v="10"/>
    <x v="10"/>
    <x v="2"/>
    <s v="Bhubaneswar"/>
    <s v="Meera Iyer"/>
    <s v="Corporate"/>
    <x v="2"/>
    <s v="Pens Set"/>
    <n v="2"/>
    <n v="9.2200000000000006"/>
    <n v="0"/>
    <n v="18.440000000000001"/>
    <n v="14.42"/>
    <n v="4.0199999999999996"/>
    <s v="Credit Card"/>
  </r>
  <r>
    <s v="ORD-0337"/>
    <d v="2025-02-18T00:00:00"/>
    <x v="1"/>
    <x v="1"/>
    <x v="1"/>
    <s v="Ahmedabad"/>
    <s v="Vikram Singh"/>
    <s v="Small Business"/>
    <x v="0"/>
    <s v="Wireless Mouse"/>
    <n v="5"/>
    <n v="26.15"/>
    <n v="0"/>
    <n v="130.75"/>
    <n v="80.88"/>
    <n v="49.87"/>
    <s v="Credit Card"/>
  </r>
  <r>
    <s v="ORD-0338"/>
    <d v="2025-07-10T00:00:00"/>
    <x v="5"/>
    <x v="5"/>
    <x v="1"/>
    <s v="Ahmedabad"/>
    <s v="Neha Das"/>
    <s v="Corporate"/>
    <x v="2"/>
    <s v="Printer Paper"/>
    <n v="1"/>
    <n v="7.9"/>
    <n v="0.1"/>
    <n v="7.11"/>
    <n v="4.75"/>
    <n v="2.36"/>
    <s v="UPI"/>
  </r>
  <r>
    <s v="ORD-0339"/>
    <d v="2025-02-27T00:00:00"/>
    <x v="1"/>
    <x v="1"/>
    <x v="0"/>
    <s v="Indore"/>
    <s v="Neha Das"/>
    <s v="Consumer"/>
    <x v="0"/>
    <s v="Wireless Mouse"/>
    <n v="10"/>
    <n v="27.14"/>
    <n v="0"/>
    <n v="271.39999999999998"/>
    <n v="175"/>
    <n v="96.4"/>
    <s v="Debit Card"/>
  </r>
  <r>
    <s v="ORD-0340"/>
    <d v="2025-07-03T00:00:00"/>
    <x v="5"/>
    <x v="5"/>
    <x v="1"/>
    <s v="Mumbai"/>
    <s v="Karan Patel"/>
    <s v="Corporate"/>
    <x v="1"/>
    <s v="Office Chair"/>
    <n v="5"/>
    <n v="196.85"/>
    <n v="0"/>
    <n v="984.25"/>
    <n v="654.45000000000005"/>
    <n v="329.8"/>
    <s v="Credit Card"/>
  </r>
  <r>
    <s v="ORD-0341"/>
    <d v="2025-02-02T00:00:00"/>
    <x v="1"/>
    <x v="1"/>
    <x v="0"/>
    <s v="Nagpur"/>
    <s v="Ananya Rao"/>
    <s v="Small Business"/>
    <x v="2"/>
    <s v="Pens Set"/>
    <n v="1"/>
    <n v="10.91"/>
    <n v="0.15"/>
    <n v="9.27"/>
    <n v="8.19"/>
    <n v="1.08"/>
    <s v="Net Banking"/>
  </r>
  <r>
    <s v="ORD-0342"/>
    <d v="2025-09-23T00:00:00"/>
    <x v="11"/>
    <x v="11"/>
    <x v="1"/>
    <s v="Mumbai"/>
    <s v="Aarav Sharma"/>
    <s v="Consumer"/>
    <x v="1"/>
    <s v="Desk Lamp"/>
    <n v="1"/>
    <n v="41.82"/>
    <n v="0"/>
    <n v="41.82"/>
    <n v="27.79"/>
    <n v="14.03"/>
    <s v="UPI"/>
  </r>
  <r>
    <s v="ORD-0343"/>
    <d v="2025-09-16T00:00:00"/>
    <x v="11"/>
    <x v="11"/>
    <x v="2"/>
    <s v="Bhubaneswar"/>
    <s v="Aarav Sharma"/>
    <s v="Small Business"/>
    <x v="2"/>
    <s v="Desk Organizer"/>
    <n v="5"/>
    <n v="25.66"/>
    <n v="0.1"/>
    <n v="115.47"/>
    <n v="79.06"/>
    <n v="36.409999999999997"/>
    <s v="UPI"/>
  </r>
  <r>
    <s v="ORD-0344"/>
    <d v="2025-10-09T00:00:00"/>
    <x v="7"/>
    <x v="7"/>
    <x v="0"/>
    <s v="Indore"/>
    <s v="Priya Nair"/>
    <s v="Corporate"/>
    <x v="1"/>
    <s v="Filing Cabinet"/>
    <n v="2"/>
    <n v="199.86"/>
    <n v="0.1"/>
    <n v="359.75"/>
    <n v="261.12"/>
    <n v="98.63"/>
    <s v="Debit Card"/>
  </r>
  <r>
    <s v="ORD-0345"/>
    <d v="2025-06-11T00:00:00"/>
    <x v="9"/>
    <x v="9"/>
    <x v="0"/>
    <s v="Nagpur"/>
    <s v="Aarav Sharma"/>
    <s v="Consumer"/>
    <x v="0"/>
    <s v="Headphones"/>
    <n v="4"/>
    <n v="72.31"/>
    <n v="0.1"/>
    <n v="260.32"/>
    <n v="186.18"/>
    <n v="74.14"/>
    <s v="Net Banking"/>
  </r>
  <r>
    <s v="ORD-0346"/>
    <d v="2025-09-18T00:00:00"/>
    <x v="11"/>
    <x v="11"/>
    <x v="3"/>
    <s v="Delhi"/>
    <s v="Neha Das"/>
    <s v="Corporate"/>
    <x v="1"/>
    <s v="Desk"/>
    <n v="3"/>
    <n v="320.12"/>
    <n v="0.05"/>
    <n v="912.34"/>
    <n v="604.07000000000005"/>
    <n v="308.27"/>
    <s v="Debit Card"/>
  </r>
  <r>
    <s v="ORD-0347"/>
    <d v="2025-12-03T00:00:00"/>
    <x v="3"/>
    <x v="3"/>
    <x v="2"/>
    <s v="Guwahati"/>
    <s v="Vikram Singh"/>
    <s v="Small Business"/>
    <x v="2"/>
    <s v="Desk Organizer"/>
    <n v="1"/>
    <n v="29.88"/>
    <n v="0"/>
    <n v="29.88"/>
    <n v="15.56"/>
    <n v="14.32"/>
    <s v="Net Banking"/>
  </r>
  <r>
    <s v="ORD-0348"/>
    <d v="2025-12-26T00:00:00"/>
    <x v="3"/>
    <x v="3"/>
    <x v="0"/>
    <s v="Bhopal"/>
    <s v="Ananya Rao"/>
    <s v="Consumer"/>
    <x v="0"/>
    <s v="Wireless Mouse"/>
    <n v="6"/>
    <n v="25.21"/>
    <n v="0.1"/>
    <n v="136.13"/>
    <n v="83.51"/>
    <n v="52.62"/>
    <s v="Debit Card"/>
  </r>
  <r>
    <s v="ORD-0349"/>
    <d v="2025-04-21T00:00:00"/>
    <x v="6"/>
    <x v="6"/>
    <x v="0"/>
    <s v="Bhopal"/>
    <s v="Neha Das"/>
    <s v="Corporate"/>
    <x v="2"/>
    <s v="Printer Paper"/>
    <n v="4"/>
    <n v="7.39"/>
    <n v="0.1"/>
    <n v="26.6"/>
    <n v="15.78"/>
    <n v="10.82"/>
    <s v="UPI"/>
  </r>
  <r>
    <s v="ORD-0350"/>
    <d v="2025-09-13T00:00:00"/>
    <x v="11"/>
    <x v="11"/>
    <x v="1"/>
    <s v="Ahmedabad"/>
    <s v="Rohan Mehta"/>
    <s v="Small Business"/>
    <x v="0"/>
    <s v="USB-C Hub"/>
    <n v="4"/>
    <n v="56.19"/>
    <n v="0.1"/>
    <n v="202.28"/>
    <n v="173.43"/>
    <n v="28.85"/>
    <s v="UPI"/>
  </r>
  <r>
    <s v="ORD-0351"/>
    <d v="2025-03-07T00:00:00"/>
    <x v="4"/>
    <x v="4"/>
    <x v="1"/>
    <s v="Pune"/>
    <s v="Ananya Rao"/>
    <s v="Corporate"/>
    <x v="0"/>
    <s v="Headphones"/>
    <n v="3"/>
    <n v="82.67"/>
    <n v="0.05"/>
    <n v="235.61"/>
    <n v="166.47"/>
    <n v="69.14"/>
    <s v="Debit Card"/>
  </r>
  <r>
    <s v="ORD-0352"/>
    <d v="2025-06-25T00:00:00"/>
    <x v="9"/>
    <x v="9"/>
    <x v="0"/>
    <s v="Indore"/>
    <s v="Meera Iyer"/>
    <s v="Small Business"/>
    <x v="2"/>
    <s v="Desk Organizer"/>
    <n v="5"/>
    <n v="26.05"/>
    <n v="0.15"/>
    <n v="110.71"/>
    <n v="95.08"/>
    <n v="15.63"/>
    <s v="UPI"/>
  </r>
  <r>
    <s v="ORD-0353"/>
    <d v="2025-04-13T00:00:00"/>
    <x v="6"/>
    <x v="6"/>
    <x v="4"/>
    <s v="Hyderabad"/>
    <s v="Meera Iyer"/>
    <s v="Small Business"/>
    <x v="0"/>
    <s v="USB-C Hub"/>
    <n v="4"/>
    <n v="57.81"/>
    <n v="0"/>
    <n v="231.24"/>
    <n v="188.32"/>
    <n v="42.92"/>
    <s v="Credit Card"/>
  </r>
  <r>
    <s v="ORD-0354"/>
    <d v="2025-06-30T00:00:00"/>
    <x v="9"/>
    <x v="9"/>
    <x v="0"/>
    <s v="Indore"/>
    <s v="Karan Patel"/>
    <s v="Consumer"/>
    <x v="1"/>
    <s v="Filing Cabinet"/>
    <n v="3"/>
    <n v="232.55"/>
    <n v="0.1"/>
    <n v="627.89"/>
    <n v="503.89"/>
    <n v="124"/>
    <s v="Credit Card"/>
  </r>
  <r>
    <s v="ORD-0355"/>
    <d v="2025-01-13T00:00:00"/>
    <x v="2"/>
    <x v="2"/>
    <x v="4"/>
    <s v="Chennai"/>
    <s v="Vikram Singh"/>
    <s v="Consumer"/>
    <x v="2"/>
    <s v="Printer Paper"/>
    <n v="1"/>
    <n v="7.3"/>
    <n v="0.05"/>
    <n v="6.93"/>
    <n v="5.44"/>
    <n v="1.49"/>
    <s v="Credit Card"/>
  </r>
  <r>
    <s v="ORD-0356"/>
    <d v="2025-12-20T00:00:00"/>
    <x v="3"/>
    <x v="3"/>
    <x v="0"/>
    <s v="Bhopal"/>
    <s v="Karan Patel"/>
    <s v="Consumer"/>
    <x v="2"/>
    <s v="Printer Paper"/>
    <n v="4"/>
    <n v="7.26"/>
    <n v="0.1"/>
    <n v="26.14"/>
    <n v="15.99"/>
    <n v="10.15"/>
    <s v="Net Banking"/>
  </r>
  <r>
    <s v="ORD-0357"/>
    <d v="2025-12-21T00:00:00"/>
    <x v="3"/>
    <x v="3"/>
    <x v="3"/>
    <s v="Delhi"/>
    <s v="Vikram Singh"/>
    <s v="Consumer"/>
    <x v="1"/>
    <s v="Office Chair"/>
    <n v="6"/>
    <n v="177.35"/>
    <n v="0.05"/>
    <n v="1010.89"/>
    <n v="861.65"/>
    <n v="149.24"/>
    <s v="Debit Card"/>
  </r>
  <r>
    <s v="ORD-0358"/>
    <d v="2025-04-26T00:00:00"/>
    <x v="6"/>
    <x v="6"/>
    <x v="4"/>
    <s v="Chennai"/>
    <s v="Neha Das"/>
    <s v="Consumer"/>
    <x v="1"/>
    <s v="Bookshelf"/>
    <n v="4"/>
    <n v="153.04"/>
    <n v="0.15"/>
    <n v="520.34"/>
    <n v="354.4"/>
    <n v="165.94"/>
    <s v="Credit Card"/>
  </r>
  <r>
    <s v="ORD-0359"/>
    <d v="2025-04-06T00:00:00"/>
    <x v="6"/>
    <x v="6"/>
    <x v="4"/>
    <s v="Bengaluru"/>
    <s v="Vikram Singh"/>
    <s v="Consumer"/>
    <x v="0"/>
    <s v="USB-C Hub"/>
    <n v="1"/>
    <n v="49.99"/>
    <n v="0.05"/>
    <n v="47.49"/>
    <n v="34.340000000000003"/>
    <n v="13.15"/>
    <s v="Net Banking"/>
  </r>
  <r>
    <s v="ORD-0360"/>
    <d v="2025-08-27T00:00:00"/>
    <x v="10"/>
    <x v="10"/>
    <x v="0"/>
    <s v="Nagpur"/>
    <s v="Vikram Singh"/>
    <s v="Corporate"/>
    <x v="1"/>
    <s v="Desk"/>
    <n v="1"/>
    <n v="353.38"/>
    <n v="0.15"/>
    <n v="300.37"/>
    <n v="189.15"/>
    <n v="111.22"/>
    <s v="Net Banking"/>
  </r>
  <r>
    <s v="ORD-0361"/>
    <d v="2025-02-07T00:00:00"/>
    <x v="1"/>
    <x v="1"/>
    <x v="0"/>
    <s v="Bhopal"/>
    <s v="Karan Patel"/>
    <s v="Small Business"/>
    <x v="1"/>
    <s v="Bookshelf"/>
    <n v="3"/>
    <n v="166.58"/>
    <n v="0.15"/>
    <n v="424.78"/>
    <n v="270.08999999999997"/>
    <n v="154.69"/>
    <s v="Debit Card"/>
  </r>
  <r>
    <s v="ORD-0362"/>
    <d v="2025-02-17T00:00:00"/>
    <x v="1"/>
    <x v="1"/>
    <x v="4"/>
    <s v="Hyderabad"/>
    <s v="Neha Das"/>
    <s v="Small Business"/>
    <x v="2"/>
    <s v="Printer Paper"/>
    <n v="6"/>
    <n v="8.3699999999999992"/>
    <n v="0.05"/>
    <n v="47.71"/>
    <n v="31.55"/>
    <n v="16.16"/>
    <s v="Credit Card"/>
  </r>
  <r>
    <s v="ORD-0363"/>
    <d v="2025-02-28T00:00:00"/>
    <x v="1"/>
    <x v="1"/>
    <x v="4"/>
    <s v="Bengaluru"/>
    <s v="Meera Iyer"/>
    <s v="Corporate"/>
    <x v="1"/>
    <s v="Bookshelf"/>
    <n v="2"/>
    <n v="164.85"/>
    <n v="0.15"/>
    <n v="280.25"/>
    <n v="262.3"/>
    <n v="17.95"/>
    <s v="Credit Card"/>
  </r>
  <r>
    <s v="ORD-0364"/>
    <d v="2025-07-17T00:00:00"/>
    <x v="5"/>
    <x v="5"/>
    <x v="2"/>
    <s v="Guwahati"/>
    <s v="Neha Das"/>
    <s v="Corporate"/>
    <x v="2"/>
    <s v="Stapler"/>
    <n v="4"/>
    <n v="13.58"/>
    <n v="0.15"/>
    <n v="46.17"/>
    <n v="41.64"/>
    <n v="4.53"/>
    <s v="Credit Card"/>
  </r>
  <r>
    <s v="ORD-0365"/>
    <d v="2025-06-01T00:00:00"/>
    <x v="9"/>
    <x v="9"/>
    <x v="0"/>
    <s v="Nagpur"/>
    <s v="Aarav Sharma"/>
    <s v="Small Business"/>
    <x v="1"/>
    <s v="Desk"/>
    <n v="2"/>
    <n v="293.8"/>
    <n v="0"/>
    <n v="587.6"/>
    <n v="335.06"/>
    <n v="252.54"/>
    <s v="Credit Card"/>
  </r>
  <r>
    <s v="ORD-0366"/>
    <d v="2025-04-18T00:00:00"/>
    <x v="6"/>
    <x v="6"/>
    <x v="1"/>
    <s v="Ahmedabad"/>
    <s v="Priya Nair"/>
    <s v="Small Business"/>
    <x v="1"/>
    <s v="Desk"/>
    <n v="5"/>
    <n v="317.86"/>
    <n v="0"/>
    <n v="1589.3"/>
    <n v="924.45"/>
    <n v="664.85"/>
    <s v="UPI"/>
  </r>
  <r>
    <s v="ORD-0367"/>
    <d v="2025-01-13T00:00:00"/>
    <x v="2"/>
    <x v="2"/>
    <x v="0"/>
    <s v="Bhopal"/>
    <s v="Ananya Rao"/>
    <s v="Corporate"/>
    <x v="2"/>
    <s v="Pens Set"/>
    <n v="1"/>
    <n v="9.16"/>
    <n v="0"/>
    <n v="9.16"/>
    <n v="6.95"/>
    <n v="2.21"/>
    <s v="Debit Card"/>
  </r>
  <r>
    <s v="ORD-0368"/>
    <d v="2025-07-18T00:00:00"/>
    <x v="5"/>
    <x v="5"/>
    <x v="0"/>
    <s v="Bhopal"/>
    <s v="Aarav Sharma"/>
    <s v="Small Business"/>
    <x v="2"/>
    <s v="Desk Organizer"/>
    <n v="2"/>
    <n v="25.3"/>
    <n v="0"/>
    <n v="50.6"/>
    <n v="34.43"/>
    <n v="16.170000000000002"/>
    <s v="Credit Card"/>
  </r>
  <r>
    <s v="ORD-0369"/>
    <d v="2025-07-03T00:00:00"/>
    <x v="5"/>
    <x v="5"/>
    <x v="1"/>
    <s v="Pune"/>
    <s v="Karan Patel"/>
    <s v="Small Business"/>
    <x v="1"/>
    <s v="Office Chair"/>
    <n v="2"/>
    <n v="189.16"/>
    <n v="0.15"/>
    <n v="321.57"/>
    <n v="206.54"/>
    <n v="115.03"/>
    <s v="Credit Card"/>
  </r>
  <r>
    <s v="ORD-0370"/>
    <d v="2025-08-31T00:00:00"/>
    <x v="10"/>
    <x v="10"/>
    <x v="4"/>
    <s v="Chennai"/>
    <s v="Meera Iyer"/>
    <s v="Consumer"/>
    <x v="0"/>
    <s v="USB-C Hub"/>
    <n v="1"/>
    <n v="58.54"/>
    <n v="0.15"/>
    <n v="49.76"/>
    <n v="35.619999999999997"/>
    <n v="14.14"/>
    <s v="UPI"/>
  </r>
  <r>
    <s v="ORD-0371"/>
    <d v="2025-03-05T00:00:00"/>
    <x v="4"/>
    <x v="4"/>
    <x v="2"/>
    <s v="Kolkata"/>
    <s v="Meera Iyer"/>
    <s v="Consumer"/>
    <x v="0"/>
    <s v="Wireless Mouse"/>
    <n v="3"/>
    <n v="24.67"/>
    <n v="0.15"/>
    <n v="62.91"/>
    <n v="59.51"/>
    <n v="3.4"/>
    <s v="Debit Card"/>
  </r>
  <r>
    <s v="ORD-0372"/>
    <d v="2025-11-27T00:00:00"/>
    <x v="0"/>
    <x v="0"/>
    <x v="4"/>
    <s v="Hyderabad"/>
    <s v="Aarav Sharma"/>
    <s v="Small Business"/>
    <x v="1"/>
    <s v="Desk"/>
    <n v="1"/>
    <n v="303.54000000000002"/>
    <n v="0.05"/>
    <n v="288.36"/>
    <n v="175.54"/>
    <n v="112.82"/>
    <s v="Debit Card"/>
  </r>
  <r>
    <s v="ORD-0373"/>
    <d v="2025-11-27T00:00:00"/>
    <x v="0"/>
    <x v="0"/>
    <x v="0"/>
    <s v="Indore"/>
    <s v="Meera Iyer"/>
    <s v="Corporate"/>
    <x v="1"/>
    <s v="Office Chair"/>
    <n v="2"/>
    <n v="164.67"/>
    <n v="0"/>
    <n v="329.34"/>
    <n v="190.76"/>
    <n v="138.58000000000001"/>
    <s v="UPI"/>
  </r>
  <r>
    <s v="ORD-0374"/>
    <d v="2025-12-10T00:00:00"/>
    <x v="3"/>
    <x v="3"/>
    <x v="1"/>
    <s v="Pune"/>
    <s v="Vikram Singh"/>
    <s v="Small Business"/>
    <x v="1"/>
    <s v="Desk"/>
    <n v="1"/>
    <n v="331.61"/>
    <n v="0"/>
    <n v="331.61"/>
    <n v="204.05"/>
    <n v="127.56"/>
    <s v="UPI"/>
  </r>
  <r>
    <s v="ORD-0375"/>
    <d v="2025-10-17T00:00:00"/>
    <x v="7"/>
    <x v="7"/>
    <x v="4"/>
    <s v="Bengaluru"/>
    <s v="Karan Patel"/>
    <s v="Corporate"/>
    <x v="1"/>
    <s v="Bookshelf"/>
    <n v="5"/>
    <n v="166.64"/>
    <n v="0"/>
    <n v="833.2"/>
    <n v="434.47"/>
    <n v="398.73"/>
    <s v="Net Banking"/>
  </r>
  <r>
    <s v="ORD-0376"/>
    <d v="2025-03-10T00:00:00"/>
    <x v="4"/>
    <x v="4"/>
    <x v="1"/>
    <s v="Ahmedabad"/>
    <s v="Priya Nair"/>
    <s v="Consumer"/>
    <x v="1"/>
    <s v="Bookshelf"/>
    <n v="5"/>
    <n v="150.27000000000001"/>
    <n v="0.05"/>
    <n v="713.78"/>
    <n v="565.34"/>
    <n v="148.44"/>
    <s v="Credit Card"/>
  </r>
  <r>
    <s v="ORD-0377"/>
    <d v="2025-05-24T00:00:00"/>
    <x v="8"/>
    <x v="8"/>
    <x v="3"/>
    <s v="Jaipur"/>
    <s v="Aarav Sharma"/>
    <s v="Small Business"/>
    <x v="0"/>
    <s v="USB-C Hub"/>
    <n v="1"/>
    <n v="58.38"/>
    <n v="0"/>
    <n v="58.38"/>
    <n v="43.1"/>
    <n v="15.28"/>
    <s v="Debit Card"/>
  </r>
  <r>
    <s v="ORD-0378"/>
    <d v="2025-10-30T00:00:00"/>
    <x v="7"/>
    <x v="7"/>
    <x v="4"/>
    <s v="Chennai"/>
    <s v="Karan Patel"/>
    <s v="Consumer"/>
    <x v="0"/>
    <s v="Wireless Mouse"/>
    <n v="3"/>
    <n v="25.49"/>
    <n v="0.15"/>
    <n v="65"/>
    <n v="50.59"/>
    <n v="14.41"/>
    <s v="Net Banking"/>
  </r>
  <r>
    <s v="ORD-0379"/>
    <d v="2025-03-10T00:00:00"/>
    <x v="4"/>
    <x v="4"/>
    <x v="4"/>
    <s v="Hyderabad"/>
    <s v="Rohan Mehta"/>
    <s v="Small Business"/>
    <x v="2"/>
    <s v="Stapler"/>
    <n v="3"/>
    <n v="14.81"/>
    <n v="0.15"/>
    <n v="37.770000000000003"/>
    <n v="23.24"/>
    <n v="14.53"/>
    <s v="UPI"/>
  </r>
  <r>
    <s v="ORD-0380"/>
    <d v="2025-08-17T00:00:00"/>
    <x v="10"/>
    <x v="10"/>
    <x v="1"/>
    <s v="Pune"/>
    <s v="Aarav Sharma"/>
    <s v="Consumer"/>
    <x v="0"/>
    <s v="Keyboard"/>
    <n v="3"/>
    <n v="46.1"/>
    <n v="0"/>
    <n v="138.30000000000001"/>
    <n v="102.45"/>
    <n v="35.85"/>
    <s v="Debit Card"/>
  </r>
  <r>
    <s v="ORD-0381"/>
    <d v="2025-04-29T00:00:00"/>
    <x v="6"/>
    <x v="6"/>
    <x v="2"/>
    <s v="Bhubaneswar"/>
    <s v="Neha Das"/>
    <s v="Corporate"/>
    <x v="0"/>
    <s v="Monitor"/>
    <n v="2"/>
    <n v="200.07"/>
    <n v="0"/>
    <n v="400.14"/>
    <n v="270.24"/>
    <n v="129.9"/>
    <s v="Credit Card"/>
  </r>
  <r>
    <s v="ORD-0382"/>
    <d v="2025-01-21T00:00:00"/>
    <x v="2"/>
    <x v="2"/>
    <x v="2"/>
    <s v="Guwahati"/>
    <s v="Rohan Mehta"/>
    <s v="Corporate"/>
    <x v="1"/>
    <s v="Bookshelf"/>
    <n v="1"/>
    <n v="166.96"/>
    <n v="0.05"/>
    <n v="158.61000000000001"/>
    <n v="128.63999999999999"/>
    <n v="29.97"/>
    <s v="Debit Card"/>
  </r>
  <r>
    <s v="ORD-0383"/>
    <d v="2025-07-07T00:00:00"/>
    <x v="5"/>
    <x v="5"/>
    <x v="2"/>
    <s v="Bhubaneswar"/>
    <s v="Neha Das"/>
    <s v="Corporate"/>
    <x v="1"/>
    <s v="Office Chair"/>
    <n v="3"/>
    <n v="176.9"/>
    <n v="0"/>
    <n v="530.70000000000005"/>
    <n v="358.18"/>
    <n v="172.52"/>
    <s v="Credit Card"/>
  </r>
  <r>
    <s v="ORD-0384"/>
    <d v="2025-09-14T00:00:00"/>
    <x v="11"/>
    <x v="11"/>
    <x v="4"/>
    <s v="Bengaluru"/>
    <s v="Meera Iyer"/>
    <s v="Small Business"/>
    <x v="0"/>
    <s v="Headphones"/>
    <n v="1"/>
    <n v="73.36"/>
    <n v="0.05"/>
    <n v="69.69"/>
    <n v="42.8"/>
    <n v="26.89"/>
    <s v="Credit Card"/>
  </r>
  <r>
    <s v="ORD-0385"/>
    <d v="2025-12-05T00:00:00"/>
    <x v="3"/>
    <x v="3"/>
    <x v="1"/>
    <s v="Mumbai"/>
    <s v="Rohan Mehta"/>
    <s v="Small Business"/>
    <x v="0"/>
    <s v="Headphones"/>
    <n v="5"/>
    <n v="84.68"/>
    <n v="0.1"/>
    <n v="381.06"/>
    <n v="305.94"/>
    <n v="75.12"/>
    <s v="Debit Card"/>
  </r>
  <r>
    <s v="ORD-0386"/>
    <d v="2025-01-12T00:00:00"/>
    <x v="2"/>
    <x v="2"/>
    <x v="3"/>
    <s v="Jaipur"/>
    <s v="Rohan Mehta"/>
    <s v="Consumer"/>
    <x v="0"/>
    <s v="Wireless Mouse"/>
    <n v="1"/>
    <n v="25.76"/>
    <n v="0"/>
    <n v="25.76"/>
    <n v="18.260000000000002"/>
    <n v="7.5"/>
    <s v="UPI"/>
  </r>
  <r>
    <s v="ORD-0387"/>
    <d v="2025-05-13T00:00:00"/>
    <x v="8"/>
    <x v="8"/>
    <x v="2"/>
    <s v="Kolkata"/>
    <s v="Ananya Rao"/>
    <s v="Corporate"/>
    <x v="0"/>
    <s v="USB-C Hub"/>
    <n v="8"/>
    <n v="56.75"/>
    <n v="0.15"/>
    <n v="385.9"/>
    <n v="322.92"/>
    <n v="62.98"/>
    <s v="Debit Card"/>
  </r>
  <r>
    <s v="ORD-0388"/>
    <d v="2025-09-04T00:00:00"/>
    <x v="11"/>
    <x v="11"/>
    <x v="4"/>
    <s v="Hyderabad"/>
    <s v="Vikram Singh"/>
    <s v="Consumer"/>
    <x v="0"/>
    <s v="Keyboard"/>
    <n v="5"/>
    <n v="46.45"/>
    <n v="0.15"/>
    <n v="197.41"/>
    <n v="177.94"/>
    <n v="19.47"/>
    <s v="Net Banking"/>
  </r>
  <r>
    <s v="ORD-0389"/>
    <d v="2025-08-21T00:00:00"/>
    <x v="10"/>
    <x v="10"/>
    <x v="4"/>
    <s v="Hyderabad"/>
    <s v="Karan Patel"/>
    <s v="Consumer"/>
    <x v="1"/>
    <s v="Desk Lamp"/>
    <n v="1"/>
    <n v="39.33"/>
    <n v="0"/>
    <n v="39.33"/>
    <n v="21.73"/>
    <n v="17.600000000000001"/>
    <s v="Credit Card"/>
  </r>
  <r>
    <s v="ORD-0390"/>
    <d v="2025-04-01T00:00:00"/>
    <x v="6"/>
    <x v="6"/>
    <x v="3"/>
    <s v="Delhi"/>
    <s v="Neha Das"/>
    <s v="Small Business"/>
    <x v="2"/>
    <s v="Stapler"/>
    <n v="3"/>
    <n v="16.399999999999999"/>
    <n v="0.15"/>
    <n v="41.82"/>
    <n v="33.01"/>
    <n v="8.81"/>
    <s v="UPI"/>
  </r>
  <r>
    <s v="ORD-0391"/>
    <d v="2025-11-05T00:00:00"/>
    <x v="0"/>
    <x v="0"/>
    <x v="2"/>
    <s v="Kolkata"/>
    <s v="Karan Patel"/>
    <s v="Consumer"/>
    <x v="1"/>
    <s v="Office Chair"/>
    <n v="6"/>
    <n v="192.68"/>
    <n v="0.1"/>
    <n v="1040.47"/>
    <n v="782.22"/>
    <n v="258.25"/>
    <s v="Debit Card"/>
  </r>
  <r>
    <s v="ORD-0392"/>
    <d v="2025-07-15T00:00:00"/>
    <x v="5"/>
    <x v="5"/>
    <x v="4"/>
    <s v="Chennai"/>
    <s v="Neha Das"/>
    <s v="Consumer"/>
    <x v="2"/>
    <s v="Stapler"/>
    <n v="5"/>
    <n v="16.5"/>
    <n v="0.15"/>
    <n v="70.12"/>
    <n v="45.32"/>
    <n v="24.8"/>
    <s v="Credit Card"/>
  </r>
  <r>
    <s v="ORD-0393"/>
    <d v="2025-05-26T00:00:00"/>
    <x v="8"/>
    <x v="8"/>
    <x v="3"/>
    <s v="Jaipur"/>
    <s v="Aarav Sharma"/>
    <s v="Corporate"/>
    <x v="1"/>
    <s v="Desk Lamp"/>
    <n v="2"/>
    <n v="37.659999999999997"/>
    <n v="0"/>
    <n v="75.319999999999993"/>
    <n v="52.23"/>
    <n v="23.09"/>
    <s v="UPI"/>
  </r>
  <r>
    <s v="ORD-0394"/>
    <d v="2025-12-19T00:00:00"/>
    <x v="3"/>
    <x v="3"/>
    <x v="0"/>
    <s v="Indore"/>
    <s v="Meera Iyer"/>
    <s v="Small Business"/>
    <x v="2"/>
    <s v="Desk Organizer"/>
    <n v="2"/>
    <n v="26.15"/>
    <n v="0.15"/>
    <n v="44.45"/>
    <n v="31.18"/>
    <n v="13.27"/>
    <s v="Net Banking"/>
  </r>
  <r>
    <s v="ORD-0395"/>
    <d v="2025-12-15T00:00:00"/>
    <x v="3"/>
    <x v="3"/>
    <x v="0"/>
    <s v="Nagpur"/>
    <s v="Neha Das"/>
    <s v="Corporate"/>
    <x v="2"/>
    <s v="Printer Paper"/>
    <n v="2"/>
    <n v="8.58"/>
    <n v="0.1"/>
    <n v="15.44"/>
    <n v="9.84"/>
    <n v="5.6"/>
    <s v="Net Banking"/>
  </r>
  <r>
    <s v="ORD-0396"/>
    <d v="2025-10-23T00:00:00"/>
    <x v="7"/>
    <x v="7"/>
    <x v="1"/>
    <s v="Ahmedabad"/>
    <s v="Rohan Mehta"/>
    <s v="Consumer"/>
    <x v="2"/>
    <s v="Desk Organizer"/>
    <n v="4"/>
    <n v="30.47"/>
    <n v="0"/>
    <n v="121.88"/>
    <n v="90.72"/>
    <n v="31.16"/>
    <s v="UPI"/>
  </r>
  <r>
    <s v="ORD-0397"/>
    <d v="2025-09-18T00:00:00"/>
    <x v="11"/>
    <x v="11"/>
    <x v="3"/>
    <s v="Delhi"/>
    <s v="Rohan Mehta"/>
    <s v="Corporate"/>
    <x v="2"/>
    <s v="Pens Set"/>
    <n v="5"/>
    <n v="10.35"/>
    <n v="0"/>
    <n v="51.75"/>
    <n v="29.41"/>
    <n v="22.34"/>
    <s v="Debit Card"/>
  </r>
  <r>
    <s v="ORD-0398"/>
    <d v="2025-02-15T00:00:00"/>
    <x v="1"/>
    <x v="1"/>
    <x v="1"/>
    <s v="Ahmedabad"/>
    <s v="Vikram Singh"/>
    <s v="Small Business"/>
    <x v="0"/>
    <s v="Monitor"/>
    <n v="1"/>
    <n v="201.87"/>
    <n v="0"/>
    <n v="201.87"/>
    <n v="148.85"/>
    <n v="53.02"/>
    <s v="Credit Card"/>
  </r>
  <r>
    <s v="ORD-0399"/>
    <d v="2025-03-31T00:00:00"/>
    <x v="4"/>
    <x v="4"/>
    <x v="3"/>
    <s v="Jaipur"/>
    <s v="Ananya Rao"/>
    <s v="Small Business"/>
    <x v="1"/>
    <s v="Filing Cabinet"/>
    <n v="2"/>
    <n v="198.32"/>
    <n v="0.15"/>
    <n v="337.14"/>
    <n v="240.29"/>
    <n v="96.85"/>
    <s v="UPI"/>
  </r>
  <r>
    <s v="ORD-0400"/>
    <d v="2025-12-12T00:00:00"/>
    <x v="3"/>
    <x v="3"/>
    <x v="2"/>
    <s v="Bhubaneswar"/>
    <s v="Meera Iyer"/>
    <s v="Small Business"/>
    <x v="0"/>
    <s v="Monitor"/>
    <n v="1"/>
    <n v="198.01"/>
    <n v="0"/>
    <n v="198.01"/>
    <n v="108.12"/>
    <n v="89.89"/>
    <s v="Debit Card"/>
  </r>
  <r>
    <s v="ORD-0401"/>
    <d v="2025-07-27T00:00:00"/>
    <x v="5"/>
    <x v="5"/>
    <x v="0"/>
    <s v="Indore"/>
    <s v="Meera Iyer"/>
    <s v="Corporate"/>
    <x v="1"/>
    <s v="Desk"/>
    <n v="3"/>
    <n v="339.88"/>
    <n v="0"/>
    <n v="1019.64"/>
    <n v="811.38"/>
    <n v="208.26"/>
    <s v="Net Banking"/>
  </r>
  <r>
    <s v="ORD-0402"/>
    <d v="2025-04-26T00:00:00"/>
    <x v="6"/>
    <x v="6"/>
    <x v="1"/>
    <s v="Ahmedabad"/>
    <s v="Priya Nair"/>
    <s v="Small Business"/>
    <x v="1"/>
    <s v="Desk"/>
    <n v="2"/>
    <n v="316.44"/>
    <n v="0"/>
    <n v="632.88"/>
    <n v="378.67"/>
    <n v="254.21"/>
    <s v="Credit Card"/>
  </r>
  <r>
    <s v="ORD-0403"/>
    <d v="2025-09-15T00:00:00"/>
    <x v="11"/>
    <x v="11"/>
    <x v="0"/>
    <s v="Indore"/>
    <s v="Neha Das"/>
    <s v="Corporate"/>
    <x v="2"/>
    <s v="Pens Set"/>
    <n v="8"/>
    <n v="10.77"/>
    <n v="0.05"/>
    <n v="81.849999999999994"/>
    <n v="67.45"/>
    <n v="14.4"/>
    <s v="Debit Card"/>
  </r>
  <r>
    <s v="ORD-0404"/>
    <d v="2025-05-05T00:00:00"/>
    <x v="8"/>
    <x v="8"/>
    <x v="2"/>
    <s v="Kolkata"/>
    <s v="Karan Patel"/>
    <s v="Small Business"/>
    <x v="2"/>
    <s v="Desk Organizer"/>
    <n v="4"/>
    <n v="30.72"/>
    <n v="0"/>
    <n v="122.88"/>
    <n v="81.66"/>
    <n v="41.22"/>
    <s v="UPI"/>
  </r>
  <r>
    <s v="ORD-0405"/>
    <d v="2025-12-13T00:00:00"/>
    <x v="3"/>
    <x v="3"/>
    <x v="3"/>
    <s v="Jaipur"/>
    <s v="Vikram Singh"/>
    <s v="Consumer"/>
    <x v="1"/>
    <s v="Desk"/>
    <n v="5"/>
    <n v="317.02999999999997"/>
    <n v="0.05"/>
    <n v="1505.89"/>
    <n v="1069.9000000000001"/>
    <n v="435.99"/>
    <s v="Net Banking"/>
  </r>
  <r>
    <s v="ORD-0406"/>
    <d v="2025-02-17T00:00:00"/>
    <x v="1"/>
    <x v="1"/>
    <x v="4"/>
    <s v="Hyderabad"/>
    <s v="Vikram Singh"/>
    <s v="Consumer"/>
    <x v="2"/>
    <s v="Pens Set"/>
    <n v="1"/>
    <n v="11.05"/>
    <n v="0.1"/>
    <n v="9.9499999999999993"/>
    <n v="6.79"/>
    <n v="3.16"/>
    <s v="UPI"/>
  </r>
  <r>
    <s v="ORD-0407"/>
    <d v="2025-09-13T00:00:00"/>
    <x v="11"/>
    <x v="11"/>
    <x v="4"/>
    <s v="Bengaluru"/>
    <s v="Meera Iyer"/>
    <s v="Consumer"/>
    <x v="1"/>
    <s v="Desk"/>
    <n v="1"/>
    <n v="305.04000000000002"/>
    <n v="0.05"/>
    <n v="289.79000000000002"/>
    <n v="177.54"/>
    <n v="112.25"/>
    <s v="Credit Card"/>
  </r>
  <r>
    <s v="ORD-0408"/>
    <d v="2025-03-03T00:00:00"/>
    <x v="4"/>
    <x v="4"/>
    <x v="1"/>
    <s v="Pune"/>
    <s v="Meera Iyer"/>
    <s v="Corporate"/>
    <x v="0"/>
    <s v="Headphones"/>
    <n v="3"/>
    <n v="85.45"/>
    <n v="0.15"/>
    <n v="217.9"/>
    <n v="206.98"/>
    <n v="10.92"/>
    <s v="Net Banking"/>
  </r>
  <r>
    <s v="ORD-0409"/>
    <d v="2025-09-09T00:00:00"/>
    <x v="11"/>
    <x v="11"/>
    <x v="0"/>
    <s v="Indore"/>
    <s v="Neha Das"/>
    <s v="Small Business"/>
    <x v="0"/>
    <s v="USB-C Hub"/>
    <n v="2"/>
    <n v="52.19"/>
    <n v="0.15"/>
    <n v="88.72"/>
    <n v="58.29"/>
    <n v="30.43"/>
    <s v="Credit Card"/>
  </r>
  <r>
    <s v="ORD-0410"/>
    <d v="2025-09-15T00:00:00"/>
    <x v="11"/>
    <x v="11"/>
    <x v="0"/>
    <s v="Indore"/>
    <s v="Meera Iyer"/>
    <s v="Small Business"/>
    <x v="2"/>
    <s v="Desk Organizer"/>
    <n v="5"/>
    <n v="29.98"/>
    <n v="0.1"/>
    <n v="134.91"/>
    <n v="121.86"/>
    <n v="13.05"/>
    <s v="Credit Card"/>
  </r>
  <r>
    <s v="ORD-0411"/>
    <d v="2025-01-07T00:00:00"/>
    <x v="2"/>
    <x v="2"/>
    <x v="2"/>
    <s v="Kolkata"/>
    <s v="Vikram Singh"/>
    <s v="Consumer"/>
    <x v="1"/>
    <s v="Desk"/>
    <n v="2"/>
    <n v="295.08999999999997"/>
    <n v="0.05"/>
    <n v="560.66999999999996"/>
    <n v="415.39"/>
    <n v="145.28"/>
    <s v="Net Banking"/>
  </r>
  <r>
    <s v="ORD-0412"/>
    <d v="2025-08-30T00:00:00"/>
    <x v="10"/>
    <x v="10"/>
    <x v="2"/>
    <s v="Bhubaneswar"/>
    <s v="Karan Patel"/>
    <s v="Corporate"/>
    <x v="1"/>
    <s v="Bookshelf"/>
    <n v="2"/>
    <n v="151.46"/>
    <n v="0"/>
    <n v="302.92"/>
    <n v="195.6"/>
    <n v="107.32"/>
    <s v="Debit Card"/>
  </r>
  <r>
    <s v="ORD-0413"/>
    <d v="2025-04-03T00:00:00"/>
    <x v="6"/>
    <x v="6"/>
    <x v="4"/>
    <s v="Hyderabad"/>
    <s v="Karan Patel"/>
    <s v="Corporate"/>
    <x v="1"/>
    <s v="Desk"/>
    <n v="8"/>
    <n v="336.3"/>
    <n v="0"/>
    <n v="2690.4"/>
    <n v="1980.79"/>
    <n v="709.61"/>
    <s v="UPI"/>
  </r>
  <r>
    <s v="ORD-0414"/>
    <d v="2025-03-16T00:00:00"/>
    <x v="4"/>
    <x v="4"/>
    <x v="0"/>
    <s v="Nagpur"/>
    <s v="Meera Iyer"/>
    <s v="Corporate"/>
    <x v="1"/>
    <s v="Desk"/>
    <n v="2"/>
    <n v="288.69"/>
    <n v="0.1"/>
    <n v="519.64"/>
    <n v="386.77"/>
    <n v="132.87"/>
    <s v="Net Banking"/>
  </r>
  <r>
    <s v="ORD-0415"/>
    <d v="2025-05-09T00:00:00"/>
    <x v="8"/>
    <x v="8"/>
    <x v="2"/>
    <s v="Bhubaneswar"/>
    <s v="Priya Nair"/>
    <s v="Corporate"/>
    <x v="1"/>
    <s v="Desk Lamp"/>
    <n v="1"/>
    <n v="36.869999999999997"/>
    <n v="0"/>
    <n v="36.869999999999997"/>
    <n v="19.84"/>
    <n v="17.03"/>
    <s v="Net Banking"/>
  </r>
  <r>
    <s v="ORD-0416"/>
    <d v="2025-05-14T00:00:00"/>
    <x v="8"/>
    <x v="8"/>
    <x v="1"/>
    <s v="Mumbai"/>
    <s v="Meera Iyer"/>
    <s v="Small Business"/>
    <x v="2"/>
    <s v="Pens Set"/>
    <n v="3"/>
    <n v="11.05"/>
    <n v="0.05"/>
    <n v="31.49"/>
    <n v="20.66"/>
    <n v="10.83"/>
    <s v="UPI"/>
  </r>
  <r>
    <s v="ORD-0417"/>
    <d v="2025-10-23T00:00:00"/>
    <x v="7"/>
    <x v="7"/>
    <x v="0"/>
    <s v="Indore"/>
    <s v="Neha Das"/>
    <s v="Consumer"/>
    <x v="1"/>
    <s v="Desk Lamp"/>
    <n v="1"/>
    <n v="42.87"/>
    <n v="0.05"/>
    <n v="40.729999999999997"/>
    <n v="26.47"/>
    <n v="14.26"/>
    <s v="Debit Card"/>
  </r>
  <r>
    <s v="ORD-0418"/>
    <d v="2025-11-11T00:00:00"/>
    <x v="0"/>
    <x v="0"/>
    <x v="2"/>
    <s v="Bhubaneswar"/>
    <s v="Karan Patel"/>
    <s v="Consumer"/>
    <x v="2"/>
    <s v="Desk Organizer"/>
    <n v="3"/>
    <n v="26.09"/>
    <n v="0"/>
    <n v="78.27"/>
    <n v="55.74"/>
    <n v="22.53"/>
    <s v="Credit Card"/>
  </r>
  <r>
    <s v="ORD-0419"/>
    <d v="2025-03-24T00:00:00"/>
    <x v="4"/>
    <x v="4"/>
    <x v="1"/>
    <s v="Pune"/>
    <s v="Neha Das"/>
    <s v="Corporate"/>
    <x v="2"/>
    <s v="Printer Paper"/>
    <n v="2"/>
    <n v="8.35"/>
    <n v="0.05"/>
    <n v="15.86"/>
    <n v="11.72"/>
    <n v="4.1399999999999997"/>
    <s v="Debit Card"/>
  </r>
  <r>
    <s v="ORD-0420"/>
    <d v="2025-07-31T00:00:00"/>
    <x v="5"/>
    <x v="5"/>
    <x v="3"/>
    <s v="Delhi"/>
    <s v="Rohan Mehta"/>
    <s v="Corporate"/>
    <x v="0"/>
    <s v="Keyboard"/>
    <n v="5"/>
    <n v="41.74"/>
    <n v="0"/>
    <n v="208.7"/>
    <n v="149.97"/>
    <n v="58.73"/>
    <s v="Credit Card"/>
  </r>
  <r>
    <s v="ORD-0421"/>
    <d v="2025-02-18T00:00:00"/>
    <x v="1"/>
    <x v="1"/>
    <x v="3"/>
    <s v="Delhi"/>
    <s v="Vikram Singh"/>
    <s v="Small Business"/>
    <x v="0"/>
    <s v="Headphones"/>
    <n v="3"/>
    <n v="72.459999999999994"/>
    <n v="0.1"/>
    <n v="195.64"/>
    <n v="147.21"/>
    <n v="48.43"/>
    <s v="UPI"/>
  </r>
  <r>
    <s v="ORD-0422"/>
    <d v="2025-02-13T00:00:00"/>
    <x v="1"/>
    <x v="1"/>
    <x v="4"/>
    <s v="Bengaluru"/>
    <s v="Rohan Mehta"/>
    <s v="Consumer"/>
    <x v="1"/>
    <s v="Filing Cabinet"/>
    <n v="2"/>
    <n v="200.43"/>
    <n v="0.05"/>
    <n v="380.82"/>
    <n v="261.74"/>
    <n v="119.08"/>
    <s v="Credit Card"/>
  </r>
  <r>
    <s v="ORD-0423"/>
    <d v="2025-12-06T00:00:00"/>
    <x v="3"/>
    <x v="3"/>
    <x v="0"/>
    <s v="Indore"/>
    <s v="Rohan Mehta"/>
    <s v="Small Business"/>
    <x v="2"/>
    <s v="Pens Set"/>
    <n v="5"/>
    <n v="10.029999999999999"/>
    <n v="0.15"/>
    <n v="42.63"/>
    <n v="40.14"/>
    <n v="2.4900000000000002"/>
    <s v="UPI"/>
  </r>
  <r>
    <s v="ORD-0424"/>
    <d v="2025-10-30T00:00:00"/>
    <x v="7"/>
    <x v="7"/>
    <x v="0"/>
    <s v="Indore"/>
    <s v="Meera Iyer"/>
    <s v="Corporate"/>
    <x v="1"/>
    <s v="Filing Cabinet"/>
    <n v="3"/>
    <n v="218.38"/>
    <n v="0.15"/>
    <n v="556.87"/>
    <n v="426.16"/>
    <n v="130.71"/>
    <s v="UPI"/>
  </r>
  <r>
    <s v="ORD-0425"/>
    <d v="2025-02-15T00:00:00"/>
    <x v="1"/>
    <x v="1"/>
    <x v="0"/>
    <s v="Bhopal"/>
    <s v="Meera Iyer"/>
    <s v="Corporate"/>
    <x v="2"/>
    <s v="Pens Set"/>
    <n v="2"/>
    <n v="9.57"/>
    <n v="0.05"/>
    <n v="18.18"/>
    <n v="10.01"/>
    <n v="8.17"/>
    <s v="Debit Card"/>
  </r>
  <r>
    <s v="ORD-0426"/>
    <d v="2025-10-01T00:00:00"/>
    <x v="7"/>
    <x v="7"/>
    <x v="2"/>
    <s v="Guwahati"/>
    <s v="Ananya Rao"/>
    <s v="Consumer"/>
    <x v="0"/>
    <s v="Headphones"/>
    <n v="8"/>
    <n v="80.400000000000006"/>
    <n v="0"/>
    <n v="643.20000000000005"/>
    <n v="482.25"/>
    <n v="160.94999999999999"/>
    <s v="Net Banking"/>
  </r>
  <r>
    <s v="ORD-0427"/>
    <d v="2025-04-07T00:00:00"/>
    <x v="6"/>
    <x v="6"/>
    <x v="4"/>
    <s v="Chennai"/>
    <s v="Priya Nair"/>
    <s v="Corporate"/>
    <x v="2"/>
    <s v="Stapler"/>
    <n v="2"/>
    <n v="14.32"/>
    <n v="0.1"/>
    <n v="25.78"/>
    <n v="22.01"/>
    <n v="3.77"/>
    <s v="UPI"/>
  </r>
  <r>
    <s v="ORD-0428"/>
    <d v="2025-09-22T00:00:00"/>
    <x v="11"/>
    <x v="11"/>
    <x v="3"/>
    <s v="Delhi"/>
    <s v="Rohan Mehta"/>
    <s v="Corporate"/>
    <x v="1"/>
    <s v="Bookshelf"/>
    <n v="2"/>
    <n v="159.52000000000001"/>
    <n v="0.05"/>
    <n v="303.08999999999997"/>
    <n v="205.42"/>
    <n v="97.67"/>
    <s v="Credit Card"/>
  </r>
  <r>
    <s v="ORD-0429"/>
    <d v="2025-11-23T00:00:00"/>
    <x v="0"/>
    <x v="0"/>
    <x v="3"/>
    <s v="Delhi"/>
    <s v="Aarav Sharma"/>
    <s v="Small Business"/>
    <x v="2"/>
    <s v="Stapler"/>
    <n v="2"/>
    <n v="15.81"/>
    <n v="0.1"/>
    <n v="28.46"/>
    <n v="18.22"/>
    <n v="10.24"/>
    <s v="Credit Card"/>
  </r>
  <r>
    <s v="ORD-0430"/>
    <d v="2025-04-06T00:00:00"/>
    <x v="6"/>
    <x v="6"/>
    <x v="4"/>
    <s v="Bengaluru"/>
    <s v="Neha Das"/>
    <s v="Consumer"/>
    <x v="0"/>
    <s v="Monitor"/>
    <n v="2"/>
    <n v="232.62"/>
    <n v="0"/>
    <n v="465.24"/>
    <n v="274.42"/>
    <n v="190.82"/>
    <s v="Net Banking"/>
  </r>
  <r>
    <s v="ORD-0431"/>
    <d v="2025-08-04T00:00:00"/>
    <x v="10"/>
    <x v="10"/>
    <x v="4"/>
    <s v="Bengaluru"/>
    <s v="Vikram Singh"/>
    <s v="Corporate"/>
    <x v="2"/>
    <s v="Desk Organizer"/>
    <n v="10"/>
    <n v="28.06"/>
    <n v="0"/>
    <n v="280.60000000000002"/>
    <n v="173.71"/>
    <n v="106.89"/>
    <s v="Credit Card"/>
  </r>
  <r>
    <s v="ORD-0432"/>
    <d v="2025-10-06T00:00:00"/>
    <x v="7"/>
    <x v="7"/>
    <x v="3"/>
    <s v="Jaipur"/>
    <s v="Ananya Rao"/>
    <s v="Corporate"/>
    <x v="2"/>
    <s v="Printer Paper"/>
    <n v="1"/>
    <n v="8.68"/>
    <n v="0.1"/>
    <n v="7.81"/>
    <n v="6.67"/>
    <n v="1.1399999999999999"/>
    <s v="Debit Card"/>
  </r>
  <r>
    <s v="ORD-0433"/>
    <d v="2025-05-07T00:00:00"/>
    <x v="8"/>
    <x v="8"/>
    <x v="4"/>
    <s v="Chennai"/>
    <s v="Karan Patel"/>
    <s v="Small Business"/>
    <x v="1"/>
    <s v="Office Chair"/>
    <n v="1"/>
    <n v="191.12"/>
    <n v="0"/>
    <n v="191.12"/>
    <n v="129.26"/>
    <n v="61.86"/>
    <s v="Net Banking"/>
  </r>
  <r>
    <s v="ORD-0434"/>
    <d v="2025-06-15T00:00:00"/>
    <x v="9"/>
    <x v="9"/>
    <x v="2"/>
    <s v="Kolkata"/>
    <s v="Meera Iyer"/>
    <s v="Consumer"/>
    <x v="0"/>
    <s v="Wireless Mouse"/>
    <n v="4"/>
    <n v="25.52"/>
    <n v="0"/>
    <n v="102.08"/>
    <n v="60.84"/>
    <n v="41.24"/>
    <s v="UPI"/>
  </r>
  <r>
    <s v="ORD-0435"/>
    <d v="2025-02-27T00:00:00"/>
    <x v="1"/>
    <x v="1"/>
    <x v="1"/>
    <s v="Mumbai"/>
    <s v="Aarav Sharma"/>
    <s v="Consumer"/>
    <x v="0"/>
    <s v="Headphones"/>
    <n v="2"/>
    <n v="74.95"/>
    <n v="0.05"/>
    <n v="142.41"/>
    <n v="104.24"/>
    <n v="38.17"/>
    <s v="Debit Card"/>
  </r>
  <r>
    <s v="ORD-0436"/>
    <d v="2025-12-19T00:00:00"/>
    <x v="3"/>
    <x v="3"/>
    <x v="0"/>
    <s v="Indore"/>
    <s v="Aarav Sharma"/>
    <s v="Consumer"/>
    <x v="1"/>
    <s v="Desk"/>
    <n v="2"/>
    <n v="294.3"/>
    <n v="0"/>
    <n v="588.6"/>
    <n v="394.35"/>
    <n v="194.25"/>
    <s v="Net Banking"/>
  </r>
  <r>
    <s v="ORD-0437"/>
    <d v="2025-11-27T00:00:00"/>
    <x v="0"/>
    <x v="0"/>
    <x v="0"/>
    <s v="Nagpur"/>
    <s v="Meera Iyer"/>
    <s v="Corporate"/>
    <x v="0"/>
    <s v="USB-C Hub"/>
    <n v="5"/>
    <n v="51.02"/>
    <n v="0"/>
    <n v="255.1"/>
    <n v="156.88999999999999"/>
    <n v="98.21"/>
    <s v="UPI"/>
  </r>
  <r>
    <s v="ORD-0438"/>
    <d v="2025-01-11T00:00:00"/>
    <x v="2"/>
    <x v="2"/>
    <x v="1"/>
    <s v="Ahmedabad"/>
    <s v="Vikram Singh"/>
    <s v="Small Business"/>
    <x v="1"/>
    <s v="Filing Cabinet"/>
    <n v="2"/>
    <n v="195.22"/>
    <n v="0"/>
    <n v="390.44"/>
    <n v="259.87"/>
    <n v="130.57"/>
    <s v="Debit Card"/>
  </r>
  <r>
    <s v="ORD-0439"/>
    <d v="2025-04-08T00:00:00"/>
    <x v="6"/>
    <x v="6"/>
    <x v="0"/>
    <s v="Nagpur"/>
    <s v="Rohan Mehta"/>
    <s v="Consumer"/>
    <x v="1"/>
    <s v="Desk"/>
    <n v="3"/>
    <n v="310.79000000000002"/>
    <n v="0.1"/>
    <n v="839.13"/>
    <n v="561.84"/>
    <n v="277.29000000000002"/>
    <s v="UPI"/>
  </r>
  <r>
    <s v="ORD-0440"/>
    <d v="2025-08-19T00:00:00"/>
    <x v="10"/>
    <x v="10"/>
    <x v="4"/>
    <s v="Bengaluru"/>
    <s v="Meera Iyer"/>
    <s v="Small Business"/>
    <x v="2"/>
    <s v="Pens Set"/>
    <n v="3"/>
    <n v="10"/>
    <n v="0.15"/>
    <n v="25.5"/>
    <n v="19.010000000000002"/>
    <n v="6.49"/>
    <s v="UPI"/>
  </r>
  <r>
    <s v="ORD-0441"/>
    <d v="2025-06-14T00:00:00"/>
    <x v="9"/>
    <x v="9"/>
    <x v="1"/>
    <s v="Ahmedabad"/>
    <s v="Rohan Mehta"/>
    <s v="Small Business"/>
    <x v="1"/>
    <s v="Office Chair"/>
    <n v="3"/>
    <n v="183.34"/>
    <n v="0.1"/>
    <n v="495.02"/>
    <n v="317.33999999999997"/>
    <n v="177.68"/>
    <s v="Net Banking"/>
  </r>
  <r>
    <s v="ORD-0442"/>
    <d v="2025-06-15T00:00:00"/>
    <x v="9"/>
    <x v="9"/>
    <x v="4"/>
    <s v="Bengaluru"/>
    <s v="Aarav Sharma"/>
    <s v="Consumer"/>
    <x v="2"/>
    <s v="Pens Set"/>
    <n v="1"/>
    <n v="10.15"/>
    <n v="0"/>
    <n v="10.15"/>
    <n v="5.41"/>
    <n v="4.74"/>
    <s v="Credit Card"/>
  </r>
  <r>
    <s v="ORD-0443"/>
    <d v="2025-09-06T00:00:00"/>
    <x v="11"/>
    <x v="11"/>
    <x v="0"/>
    <s v="Nagpur"/>
    <s v="Vikram Singh"/>
    <s v="Consumer"/>
    <x v="0"/>
    <s v="Wireless Mouse"/>
    <n v="1"/>
    <n v="26.03"/>
    <n v="0.1"/>
    <n v="23.43"/>
    <n v="18.670000000000002"/>
    <n v="4.76"/>
    <s v="Net Banking"/>
  </r>
  <r>
    <s v="ORD-0444"/>
    <d v="2025-04-24T00:00:00"/>
    <x v="6"/>
    <x v="6"/>
    <x v="3"/>
    <s v="Chandigarh"/>
    <s v="Aarav Sharma"/>
    <s v="Corporate"/>
    <x v="1"/>
    <s v="Office Chair"/>
    <n v="1"/>
    <n v="198.47"/>
    <n v="0.1"/>
    <n v="178.62"/>
    <n v="158.47999999999999"/>
    <n v="20.14"/>
    <s v="Debit Card"/>
  </r>
  <r>
    <s v="ORD-0445"/>
    <d v="2025-07-08T00:00:00"/>
    <x v="5"/>
    <x v="5"/>
    <x v="2"/>
    <s v="Kolkata"/>
    <s v="Ananya Rao"/>
    <s v="Small Business"/>
    <x v="1"/>
    <s v="Office Chair"/>
    <n v="5"/>
    <n v="172.53"/>
    <n v="0"/>
    <n v="862.65"/>
    <n v="638.61"/>
    <n v="224.04"/>
    <s v="Credit Card"/>
  </r>
  <r>
    <s v="ORD-0446"/>
    <d v="2025-02-21T00:00:00"/>
    <x v="1"/>
    <x v="1"/>
    <x v="0"/>
    <s v="Nagpur"/>
    <s v="Rohan Mehta"/>
    <s v="Small Business"/>
    <x v="1"/>
    <s v="Desk"/>
    <n v="3"/>
    <n v="301.33999999999997"/>
    <n v="0.15"/>
    <n v="768.42"/>
    <n v="648.24"/>
    <n v="120.18"/>
    <s v="Debit Card"/>
  </r>
  <r>
    <s v="ORD-0447"/>
    <d v="2025-02-24T00:00:00"/>
    <x v="1"/>
    <x v="1"/>
    <x v="4"/>
    <s v="Bengaluru"/>
    <s v="Karan Patel"/>
    <s v="Small Business"/>
    <x v="1"/>
    <s v="Desk Lamp"/>
    <n v="2"/>
    <n v="40.04"/>
    <n v="0.1"/>
    <n v="72.069999999999993"/>
    <n v="62.85"/>
    <n v="9.2200000000000006"/>
    <s v="Net Banking"/>
  </r>
  <r>
    <s v="ORD-0448"/>
    <d v="2025-12-03T00:00:00"/>
    <x v="3"/>
    <x v="3"/>
    <x v="0"/>
    <s v="Indore"/>
    <s v="Meera Iyer"/>
    <s v="Corporate"/>
    <x v="0"/>
    <s v="USB-C Hub"/>
    <n v="10"/>
    <n v="54.86"/>
    <n v="0.05"/>
    <n v="521.16999999999996"/>
    <n v="433.8"/>
    <n v="87.37"/>
    <s v="Debit Card"/>
  </r>
  <r>
    <s v="ORD-0449"/>
    <d v="2025-06-15T00:00:00"/>
    <x v="9"/>
    <x v="9"/>
    <x v="2"/>
    <s v="Bhubaneswar"/>
    <s v="Neha Das"/>
    <s v="Corporate"/>
    <x v="1"/>
    <s v="Desk"/>
    <n v="3"/>
    <n v="303.06"/>
    <n v="0.15"/>
    <n v="772.8"/>
    <n v="725.38"/>
    <n v="47.42"/>
    <s v="Debit Card"/>
  </r>
  <r>
    <s v="ORD-0450"/>
    <d v="2025-01-01T00:00:00"/>
    <x v="2"/>
    <x v="2"/>
    <x v="2"/>
    <s v="Kolkata"/>
    <s v="Vikram Singh"/>
    <s v="Consumer"/>
    <x v="1"/>
    <s v="Office Chair"/>
    <n v="10"/>
    <n v="185.59"/>
    <n v="0.15"/>
    <n v="1577.52"/>
    <n v="1040.28"/>
    <n v="537.24"/>
    <s v="UPI"/>
  </r>
  <r>
    <s v="ORD-0451"/>
    <d v="2025-06-11T00:00:00"/>
    <x v="9"/>
    <x v="9"/>
    <x v="4"/>
    <s v="Bengaluru"/>
    <s v="Aarav Sharma"/>
    <s v="Corporate"/>
    <x v="0"/>
    <s v="Monitor"/>
    <n v="6"/>
    <n v="222.75"/>
    <n v="0.15"/>
    <n v="1136.02"/>
    <n v="1066.23"/>
    <n v="69.790000000000006"/>
    <s v="Net Banking"/>
  </r>
  <r>
    <s v="ORD-0452"/>
    <d v="2025-03-21T00:00:00"/>
    <x v="4"/>
    <x v="4"/>
    <x v="2"/>
    <s v="Kolkata"/>
    <s v="Karan Patel"/>
    <s v="Small Business"/>
    <x v="0"/>
    <s v="Monitor"/>
    <n v="2"/>
    <n v="226.18"/>
    <n v="0"/>
    <n v="452.36"/>
    <n v="270"/>
    <n v="182.36"/>
    <s v="UPI"/>
  </r>
  <r>
    <s v="ORD-0453"/>
    <d v="2025-02-09T00:00:00"/>
    <x v="1"/>
    <x v="1"/>
    <x v="3"/>
    <s v="Jaipur"/>
    <s v="Vikram Singh"/>
    <s v="Consumer"/>
    <x v="1"/>
    <s v="Bookshelf"/>
    <n v="5"/>
    <n v="140.71"/>
    <n v="0.15"/>
    <n v="598.02"/>
    <n v="538.82000000000005"/>
    <n v="59.2"/>
    <s v="Debit Card"/>
  </r>
  <r>
    <s v="ORD-0454"/>
    <d v="2025-02-10T00:00:00"/>
    <x v="1"/>
    <x v="1"/>
    <x v="3"/>
    <s v="Delhi"/>
    <s v="Aarav Sharma"/>
    <s v="Small Business"/>
    <x v="0"/>
    <s v="Monitor"/>
    <n v="2"/>
    <n v="237.55"/>
    <n v="0.1"/>
    <n v="427.59"/>
    <n v="379.64"/>
    <n v="47.95"/>
    <s v="Debit Card"/>
  </r>
  <r>
    <s v="ORD-0455"/>
    <d v="2025-01-28T00:00:00"/>
    <x v="2"/>
    <x v="2"/>
    <x v="4"/>
    <s v="Bengaluru"/>
    <s v="Aarav Sharma"/>
    <s v="Small Business"/>
    <x v="2"/>
    <s v="Stapler"/>
    <n v="1"/>
    <n v="15.28"/>
    <n v="0"/>
    <n v="15.28"/>
    <n v="9.44"/>
    <n v="5.84"/>
    <s v="Debit Card"/>
  </r>
  <r>
    <s v="ORD-0456"/>
    <d v="2025-08-17T00:00:00"/>
    <x v="10"/>
    <x v="10"/>
    <x v="4"/>
    <s v="Bengaluru"/>
    <s v="Meera Iyer"/>
    <s v="Consumer"/>
    <x v="1"/>
    <s v="Desk Lamp"/>
    <n v="3"/>
    <n v="37.950000000000003"/>
    <n v="0.05"/>
    <n v="108.16"/>
    <n v="86.06"/>
    <n v="22.1"/>
    <s v="Debit Card"/>
  </r>
  <r>
    <s v="ORD-0457"/>
    <d v="2025-10-20T00:00:00"/>
    <x v="7"/>
    <x v="7"/>
    <x v="4"/>
    <s v="Bengaluru"/>
    <s v="Neha Das"/>
    <s v="Small Business"/>
    <x v="1"/>
    <s v="Office Chair"/>
    <n v="3"/>
    <n v="172.4"/>
    <n v="0.1"/>
    <n v="465.48"/>
    <n v="346.81"/>
    <n v="118.67"/>
    <s v="UPI"/>
  </r>
  <r>
    <s v="ORD-0458"/>
    <d v="2025-09-07T00:00:00"/>
    <x v="11"/>
    <x v="11"/>
    <x v="3"/>
    <s v="Chandigarh"/>
    <s v="Karan Patel"/>
    <s v="Corporate"/>
    <x v="2"/>
    <s v="Stapler"/>
    <n v="1"/>
    <n v="15.53"/>
    <n v="0.15"/>
    <n v="13.2"/>
    <n v="9.2200000000000006"/>
    <n v="3.98"/>
    <s v="Credit Card"/>
  </r>
  <r>
    <s v="ORD-0459"/>
    <d v="2025-02-27T00:00:00"/>
    <x v="1"/>
    <x v="1"/>
    <x v="3"/>
    <s v="Chandigarh"/>
    <s v="Rohan Mehta"/>
    <s v="Corporate"/>
    <x v="1"/>
    <s v="Filing Cabinet"/>
    <n v="2"/>
    <n v="205.09"/>
    <n v="0.05"/>
    <n v="389.67"/>
    <n v="255.69"/>
    <n v="133.97999999999999"/>
    <s v="Debit Card"/>
  </r>
  <r>
    <s v="ORD-0460"/>
    <d v="2025-11-16T00:00:00"/>
    <x v="0"/>
    <x v="0"/>
    <x v="4"/>
    <s v="Hyderabad"/>
    <s v="Priya Nair"/>
    <s v="Consumer"/>
    <x v="0"/>
    <s v="Headphones"/>
    <n v="1"/>
    <n v="86.4"/>
    <n v="0"/>
    <n v="86.4"/>
    <n v="62.69"/>
    <n v="23.71"/>
    <s v="Credit Card"/>
  </r>
  <r>
    <s v="ORD-0461"/>
    <d v="2025-05-05T00:00:00"/>
    <x v="8"/>
    <x v="8"/>
    <x v="3"/>
    <s v="Chandigarh"/>
    <s v="Neha Das"/>
    <s v="Corporate"/>
    <x v="1"/>
    <s v="Desk"/>
    <n v="5"/>
    <n v="345.74"/>
    <n v="0"/>
    <n v="1728.7"/>
    <n v="1076.95"/>
    <n v="651.75"/>
    <s v="Credit Card"/>
  </r>
  <r>
    <s v="ORD-0462"/>
    <d v="2025-06-19T00:00:00"/>
    <x v="9"/>
    <x v="9"/>
    <x v="0"/>
    <s v="Nagpur"/>
    <s v="Rohan Mehta"/>
    <s v="Small Business"/>
    <x v="0"/>
    <s v="USB-C Hub"/>
    <n v="1"/>
    <n v="56.11"/>
    <n v="0.05"/>
    <n v="53.3"/>
    <n v="38.42"/>
    <n v="14.88"/>
    <s v="Credit Card"/>
  </r>
  <r>
    <s v="ORD-0463"/>
    <d v="2025-07-12T00:00:00"/>
    <x v="5"/>
    <x v="5"/>
    <x v="0"/>
    <s v="Indore"/>
    <s v="Aarav Sharma"/>
    <s v="Corporate"/>
    <x v="1"/>
    <s v="Desk Lamp"/>
    <n v="1"/>
    <n v="37.5"/>
    <n v="0.05"/>
    <n v="35.619999999999997"/>
    <n v="21.76"/>
    <n v="13.86"/>
    <s v="Credit Card"/>
  </r>
  <r>
    <s v="ORD-0464"/>
    <d v="2025-02-04T00:00:00"/>
    <x v="1"/>
    <x v="1"/>
    <x v="3"/>
    <s v="Chandigarh"/>
    <s v="Karan Patel"/>
    <s v="Consumer"/>
    <x v="2"/>
    <s v="Pens Set"/>
    <n v="3"/>
    <n v="11.01"/>
    <n v="0.05"/>
    <n v="31.38"/>
    <n v="25.74"/>
    <n v="5.64"/>
    <s v="Debit Card"/>
  </r>
  <r>
    <s v="ORD-0465"/>
    <d v="2025-09-18T00:00:00"/>
    <x v="11"/>
    <x v="11"/>
    <x v="4"/>
    <s v="Bengaluru"/>
    <s v="Neha Das"/>
    <s v="Small Business"/>
    <x v="1"/>
    <s v="Office Chair"/>
    <n v="6"/>
    <n v="181.19"/>
    <n v="0.15"/>
    <n v="924.07"/>
    <n v="738.68"/>
    <n v="185.39"/>
    <s v="Credit Card"/>
  </r>
  <r>
    <s v="ORD-0466"/>
    <d v="2025-01-21T00:00:00"/>
    <x v="2"/>
    <x v="2"/>
    <x v="2"/>
    <s v="Bhubaneswar"/>
    <s v="Vikram Singh"/>
    <s v="Consumer"/>
    <x v="0"/>
    <s v="USB-C Hub"/>
    <n v="2"/>
    <n v="55.43"/>
    <n v="0"/>
    <n v="110.86"/>
    <n v="58.26"/>
    <n v="52.6"/>
    <s v="Net Banking"/>
  </r>
  <r>
    <s v="ORD-0467"/>
    <d v="2025-02-01T00:00:00"/>
    <x v="1"/>
    <x v="1"/>
    <x v="2"/>
    <s v="Kolkata"/>
    <s v="Rohan Mehta"/>
    <s v="Corporate"/>
    <x v="1"/>
    <s v="Bookshelf"/>
    <n v="5"/>
    <n v="164.38"/>
    <n v="0"/>
    <n v="821.9"/>
    <n v="660.18"/>
    <n v="161.72"/>
    <s v="Debit Card"/>
  </r>
  <r>
    <s v="ORD-0468"/>
    <d v="2025-12-03T00:00:00"/>
    <x v="3"/>
    <x v="3"/>
    <x v="4"/>
    <s v="Chennai"/>
    <s v="Ananya Rao"/>
    <s v="Small Business"/>
    <x v="0"/>
    <s v="Wireless Mouse"/>
    <n v="4"/>
    <n v="25.36"/>
    <n v="0.15"/>
    <n v="86.22"/>
    <n v="79.31"/>
    <n v="6.91"/>
    <s v="UPI"/>
  </r>
  <r>
    <s v="ORD-0469"/>
    <d v="2025-08-07T00:00:00"/>
    <x v="10"/>
    <x v="10"/>
    <x v="0"/>
    <s v="Nagpur"/>
    <s v="Ananya Rao"/>
    <s v="Consumer"/>
    <x v="2"/>
    <s v="Stapler"/>
    <n v="2"/>
    <n v="15.29"/>
    <n v="0"/>
    <n v="30.58"/>
    <n v="21.89"/>
    <n v="8.69"/>
    <s v="Net Banking"/>
  </r>
  <r>
    <s v="ORD-0470"/>
    <d v="2025-12-19T00:00:00"/>
    <x v="3"/>
    <x v="3"/>
    <x v="0"/>
    <s v="Bhopal"/>
    <s v="Meera Iyer"/>
    <s v="Consumer"/>
    <x v="1"/>
    <s v="Desk Lamp"/>
    <n v="6"/>
    <n v="39.78"/>
    <n v="0"/>
    <n v="238.68"/>
    <n v="171.1"/>
    <n v="67.58"/>
    <s v="Credit Card"/>
  </r>
  <r>
    <s v="ORD-0471"/>
    <d v="2025-04-05T00:00:00"/>
    <x v="6"/>
    <x v="6"/>
    <x v="2"/>
    <s v="Bhubaneswar"/>
    <s v="Vikram Singh"/>
    <s v="Consumer"/>
    <x v="2"/>
    <s v="Printer Paper"/>
    <n v="4"/>
    <n v="8.5500000000000007"/>
    <n v="0.1"/>
    <n v="30.78"/>
    <n v="27.65"/>
    <n v="3.13"/>
    <s v="UPI"/>
  </r>
  <r>
    <s v="ORD-0472"/>
    <d v="2025-02-24T00:00:00"/>
    <x v="1"/>
    <x v="1"/>
    <x v="0"/>
    <s v="Nagpur"/>
    <s v="Ananya Rao"/>
    <s v="Small Business"/>
    <x v="0"/>
    <s v="Keyboard"/>
    <n v="1"/>
    <n v="50.26"/>
    <n v="0.15"/>
    <n v="42.72"/>
    <n v="30.16"/>
    <n v="12.56"/>
    <s v="UPI"/>
  </r>
  <r>
    <s v="ORD-0473"/>
    <d v="2025-04-29T00:00:00"/>
    <x v="6"/>
    <x v="6"/>
    <x v="0"/>
    <s v="Indore"/>
    <s v="Meera Iyer"/>
    <s v="Consumer"/>
    <x v="1"/>
    <s v="Office Chair"/>
    <n v="2"/>
    <n v="189.25"/>
    <n v="0.1"/>
    <n v="340.65"/>
    <n v="212.05"/>
    <n v="128.6"/>
    <s v="Debit Card"/>
  </r>
  <r>
    <s v="ORD-0474"/>
    <d v="2025-09-09T00:00:00"/>
    <x v="11"/>
    <x v="11"/>
    <x v="3"/>
    <s v="Chandigarh"/>
    <s v="Karan Patel"/>
    <s v="Consumer"/>
    <x v="2"/>
    <s v="Printer Paper"/>
    <n v="1"/>
    <n v="7.6"/>
    <n v="0.1"/>
    <n v="6.84"/>
    <n v="5.7"/>
    <n v="1.1399999999999999"/>
    <s v="UPI"/>
  </r>
  <r>
    <s v="ORD-0475"/>
    <d v="2025-04-15T00:00:00"/>
    <x v="6"/>
    <x v="6"/>
    <x v="2"/>
    <s v="Bhubaneswar"/>
    <s v="Ananya Rao"/>
    <s v="Corporate"/>
    <x v="0"/>
    <s v="Keyboard"/>
    <n v="6"/>
    <n v="50.26"/>
    <n v="0.15"/>
    <n v="256.33"/>
    <n v="201.14"/>
    <n v="55.19"/>
    <s v="Debit Card"/>
  </r>
  <r>
    <s v="ORD-0476"/>
    <d v="2025-01-22T00:00:00"/>
    <x v="2"/>
    <x v="2"/>
    <x v="0"/>
    <s v="Nagpur"/>
    <s v="Aarav Sharma"/>
    <s v="Small Business"/>
    <x v="1"/>
    <s v="Filing Cabinet"/>
    <n v="4"/>
    <n v="207.21"/>
    <n v="0.15"/>
    <n v="704.51"/>
    <n v="578.65"/>
    <n v="125.86"/>
    <s v="Credit Card"/>
  </r>
  <r>
    <s v="ORD-0477"/>
    <d v="2025-08-20T00:00:00"/>
    <x v="10"/>
    <x v="10"/>
    <x v="3"/>
    <s v="Jaipur"/>
    <s v="Karan Patel"/>
    <s v="Small Business"/>
    <x v="2"/>
    <s v="Notebook Pack"/>
    <n v="5"/>
    <n v="11.45"/>
    <n v="0.15"/>
    <n v="48.66"/>
    <n v="36.56"/>
    <n v="12.1"/>
    <s v="Credit Card"/>
  </r>
  <r>
    <s v="ORD-0478"/>
    <d v="2025-04-08T00:00:00"/>
    <x v="6"/>
    <x v="6"/>
    <x v="1"/>
    <s v="Pune"/>
    <s v="Aarav Sharma"/>
    <s v="Small Business"/>
    <x v="2"/>
    <s v="Desk Organizer"/>
    <n v="2"/>
    <n v="27.08"/>
    <n v="0.05"/>
    <n v="51.45"/>
    <n v="35.659999999999997"/>
    <n v="15.79"/>
    <s v="UPI"/>
  </r>
  <r>
    <s v="ORD-0479"/>
    <d v="2025-08-26T00:00:00"/>
    <x v="10"/>
    <x v="10"/>
    <x v="0"/>
    <s v="Bhopal"/>
    <s v="Karan Patel"/>
    <s v="Corporate"/>
    <x v="1"/>
    <s v="Filing Cabinet"/>
    <n v="1"/>
    <n v="212.13"/>
    <n v="0"/>
    <n v="212.13"/>
    <n v="159.87"/>
    <n v="52.26"/>
    <s v="Net Banking"/>
  </r>
  <r>
    <s v="ORD-0480"/>
    <d v="2025-08-19T00:00:00"/>
    <x v="10"/>
    <x v="10"/>
    <x v="3"/>
    <s v="Chandigarh"/>
    <s v="Meera Iyer"/>
    <s v="Small Business"/>
    <x v="0"/>
    <s v="Keyboard"/>
    <n v="2"/>
    <n v="49.38"/>
    <n v="0"/>
    <n v="98.76"/>
    <n v="77.5"/>
    <n v="21.26"/>
    <s v="UPI"/>
  </r>
  <r>
    <s v="ORD-0481"/>
    <d v="2025-03-05T00:00:00"/>
    <x v="4"/>
    <x v="4"/>
    <x v="1"/>
    <s v="Ahmedabad"/>
    <s v="Rohan Mehta"/>
    <s v="Corporate"/>
    <x v="0"/>
    <s v="Wireless Mouse"/>
    <n v="4"/>
    <n v="25.99"/>
    <n v="0"/>
    <n v="103.96"/>
    <n v="70.400000000000006"/>
    <n v="33.56"/>
    <s v="Debit Card"/>
  </r>
  <r>
    <s v="ORD-0482"/>
    <d v="2025-01-23T00:00:00"/>
    <x v="2"/>
    <x v="2"/>
    <x v="4"/>
    <s v="Bengaluru"/>
    <s v="Aarav Sharma"/>
    <s v="Corporate"/>
    <x v="0"/>
    <s v="Monitor"/>
    <n v="3"/>
    <n v="229.92"/>
    <n v="0"/>
    <n v="689.76"/>
    <n v="392.22"/>
    <n v="297.54000000000002"/>
    <s v="Net Banking"/>
  </r>
  <r>
    <s v="ORD-0483"/>
    <d v="2025-06-08T00:00:00"/>
    <x v="9"/>
    <x v="9"/>
    <x v="3"/>
    <s v="Jaipur"/>
    <s v="Vikram Singh"/>
    <s v="Consumer"/>
    <x v="1"/>
    <s v="Filing Cabinet"/>
    <n v="2"/>
    <n v="197.35"/>
    <n v="0"/>
    <n v="394.7"/>
    <n v="318.97000000000003"/>
    <n v="75.73"/>
    <s v="Debit Card"/>
  </r>
  <r>
    <s v="ORD-0484"/>
    <d v="2025-09-12T00:00:00"/>
    <x v="11"/>
    <x v="11"/>
    <x v="0"/>
    <s v="Nagpur"/>
    <s v="Neha Das"/>
    <s v="Corporate"/>
    <x v="2"/>
    <s v="Stapler"/>
    <n v="5"/>
    <n v="15.51"/>
    <n v="0.1"/>
    <n v="69.8"/>
    <n v="45.86"/>
    <n v="23.94"/>
    <s v="Debit Card"/>
  </r>
  <r>
    <s v="ORD-0485"/>
    <d v="2025-08-15T00:00:00"/>
    <x v="10"/>
    <x v="10"/>
    <x v="0"/>
    <s v="Bhopal"/>
    <s v="Aarav Sharma"/>
    <s v="Consumer"/>
    <x v="0"/>
    <s v="USB-C Hub"/>
    <n v="3"/>
    <n v="52.46"/>
    <n v="0.15"/>
    <n v="133.77000000000001"/>
    <n v="94.97"/>
    <n v="38.799999999999997"/>
    <s v="UPI"/>
  </r>
  <r>
    <s v="ORD-0486"/>
    <d v="2025-01-29T00:00:00"/>
    <x v="2"/>
    <x v="2"/>
    <x v="2"/>
    <s v="Bhubaneswar"/>
    <s v="Priya Nair"/>
    <s v="Consumer"/>
    <x v="1"/>
    <s v="Bookshelf"/>
    <n v="1"/>
    <n v="163.18"/>
    <n v="0.15"/>
    <n v="138.69999999999999"/>
    <n v="125.88"/>
    <n v="12.82"/>
    <s v="Credit Card"/>
  </r>
  <r>
    <s v="ORD-0487"/>
    <d v="2025-08-02T00:00:00"/>
    <x v="10"/>
    <x v="10"/>
    <x v="0"/>
    <s v="Bhopal"/>
    <s v="Neha Das"/>
    <s v="Small Business"/>
    <x v="0"/>
    <s v="Keyboard"/>
    <n v="4"/>
    <n v="46.55"/>
    <n v="0.15"/>
    <n v="158.27000000000001"/>
    <n v="128.79"/>
    <n v="29.48"/>
    <s v="Net Banking"/>
  </r>
  <r>
    <s v="ORD-0488"/>
    <d v="2025-01-19T00:00:00"/>
    <x v="2"/>
    <x v="2"/>
    <x v="0"/>
    <s v="Bhopal"/>
    <s v="Vikram Singh"/>
    <s v="Corporate"/>
    <x v="0"/>
    <s v="Monitor"/>
    <n v="2"/>
    <n v="241.44"/>
    <n v="0"/>
    <n v="482.88"/>
    <n v="360.97"/>
    <n v="121.91"/>
    <s v="UPI"/>
  </r>
  <r>
    <s v="ORD-0489"/>
    <d v="2025-03-04T00:00:00"/>
    <x v="4"/>
    <x v="4"/>
    <x v="0"/>
    <s v="Bhopal"/>
    <s v="Priya Nair"/>
    <s v="Small Business"/>
    <x v="1"/>
    <s v="Bookshelf"/>
    <n v="2"/>
    <n v="148.65"/>
    <n v="0"/>
    <n v="297.3"/>
    <n v="216.66"/>
    <n v="80.64"/>
    <s v="Credit Card"/>
  </r>
  <r>
    <s v="ORD-0490"/>
    <d v="2025-09-05T00:00:00"/>
    <x v="11"/>
    <x v="11"/>
    <x v="2"/>
    <s v="Bhubaneswar"/>
    <s v="Meera Iyer"/>
    <s v="Consumer"/>
    <x v="1"/>
    <s v="Desk Lamp"/>
    <n v="6"/>
    <n v="44.68"/>
    <n v="0.05"/>
    <n v="254.68"/>
    <n v="173.75"/>
    <n v="80.930000000000007"/>
    <s v="Debit Card"/>
  </r>
  <r>
    <s v="ORD-0491"/>
    <d v="2025-09-24T00:00:00"/>
    <x v="11"/>
    <x v="11"/>
    <x v="2"/>
    <s v="Kolkata"/>
    <s v="Aarav Sharma"/>
    <s v="Consumer"/>
    <x v="1"/>
    <s v="Filing Cabinet"/>
    <n v="3"/>
    <n v="197.31"/>
    <n v="0.15"/>
    <n v="503.14"/>
    <n v="349.13"/>
    <n v="154.01"/>
    <s v="Credit Card"/>
  </r>
  <r>
    <s v="ORD-0492"/>
    <d v="2025-08-27T00:00:00"/>
    <x v="10"/>
    <x v="10"/>
    <x v="1"/>
    <s v="Mumbai"/>
    <s v="Meera Iyer"/>
    <s v="Corporate"/>
    <x v="1"/>
    <s v="Office Chair"/>
    <n v="4"/>
    <n v="170.21"/>
    <n v="0.15"/>
    <n v="578.71"/>
    <n v="558.08000000000004"/>
    <n v="20.63"/>
    <s v="UPI"/>
  </r>
  <r>
    <s v="ORD-0493"/>
    <d v="2025-01-06T00:00:00"/>
    <x v="2"/>
    <x v="2"/>
    <x v="0"/>
    <s v="Nagpur"/>
    <s v="Meera Iyer"/>
    <s v="Consumer"/>
    <x v="1"/>
    <s v="Desk"/>
    <n v="4"/>
    <n v="305.91000000000003"/>
    <n v="0"/>
    <n v="1223.6400000000001"/>
    <n v="749.27"/>
    <n v="474.37"/>
    <s v="Credit Card"/>
  </r>
  <r>
    <s v="ORD-0494"/>
    <d v="2025-12-18T00:00:00"/>
    <x v="3"/>
    <x v="3"/>
    <x v="4"/>
    <s v="Chennai"/>
    <s v="Meera Iyer"/>
    <s v="Small Business"/>
    <x v="2"/>
    <s v="Pens Set"/>
    <n v="2"/>
    <n v="10.25"/>
    <n v="0"/>
    <n v="20.5"/>
    <n v="15.78"/>
    <n v="4.72"/>
    <s v="Debit Card"/>
  </r>
  <r>
    <s v="ORD-0495"/>
    <d v="2025-08-31T00:00:00"/>
    <x v="10"/>
    <x v="10"/>
    <x v="1"/>
    <s v="Pune"/>
    <s v="Aarav Sharma"/>
    <s v="Small Business"/>
    <x v="0"/>
    <s v="Keyboard"/>
    <n v="2"/>
    <n v="46.71"/>
    <n v="0.15"/>
    <n v="79.41"/>
    <n v="73.69"/>
    <n v="5.72"/>
    <s v="Net Banking"/>
  </r>
  <r>
    <s v="ORD-0496"/>
    <d v="2025-10-17T00:00:00"/>
    <x v="7"/>
    <x v="7"/>
    <x v="2"/>
    <s v="Kolkata"/>
    <s v="Rohan Mehta"/>
    <s v="Corporate"/>
    <x v="1"/>
    <s v="Bookshelf"/>
    <n v="3"/>
    <n v="135.62"/>
    <n v="0.15"/>
    <n v="345.83"/>
    <n v="295.24"/>
    <n v="50.59"/>
    <s v="Credit Card"/>
  </r>
  <r>
    <s v="ORD-0497"/>
    <d v="2025-06-23T00:00:00"/>
    <x v="9"/>
    <x v="9"/>
    <x v="3"/>
    <s v="Chandigarh"/>
    <s v="Meera Iyer"/>
    <s v="Small Business"/>
    <x v="2"/>
    <s v="Stapler"/>
    <n v="5"/>
    <n v="15.38"/>
    <n v="0.1"/>
    <n v="69.209999999999994"/>
    <n v="44.31"/>
    <n v="24.9"/>
    <s v="Credit Card"/>
  </r>
  <r>
    <s v="ORD-0498"/>
    <d v="2025-05-20T00:00:00"/>
    <x v="8"/>
    <x v="8"/>
    <x v="2"/>
    <s v="Kolkata"/>
    <s v="Vikram Singh"/>
    <s v="Consumer"/>
    <x v="2"/>
    <s v="Notebook Pack"/>
    <n v="3"/>
    <n v="11.43"/>
    <n v="0.1"/>
    <n v="30.86"/>
    <n v="26.36"/>
    <n v="4.5"/>
    <s v="Credit Card"/>
  </r>
  <r>
    <s v="ORD-0499"/>
    <d v="2025-07-11T00:00:00"/>
    <x v="5"/>
    <x v="5"/>
    <x v="0"/>
    <s v="Bhopal"/>
    <s v="Ananya Rao"/>
    <s v="Corporate"/>
    <x v="0"/>
    <s v="Keyboard"/>
    <n v="6"/>
    <n v="44.89"/>
    <n v="0"/>
    <n v="269.33999999999997"/>
    <n v="204.62"/>
    <n v="64.72"/>
    <s v="Debit Card"/>
  </r>
  <r>
    <s v="ORD-0500"/>
    <d v="2025-09-26T00:00:00"/>
    <x v="11"/>
    <x v="11"/>
    <x v="4"/>
    <s v="Bengaluru"/>
    <s v="Aarav Sharma"/>
    <s v="Corporate"/>
    <x v="2"/>
    <s v="Pens Set"/>
    <n v="1"/>
    <n v="10.92"/>
    <n v="0.15"/>
    <n v="9.2799999999999994"/>
    <n v="7.9"/>
    <n v="1.38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62867-874A-4097-9E1B-33AECEFCA317}" name="PivotTable1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17">
    <pivotField compact="0" outline="0" showAll="0"/>
    <pivotField compact="0" numFmtId="164" outline="0" showAll="0"/>
    <pivotField compact="0" outline="0" showAll="0">
      <items count="13">
        <item x="6"/>
        <item x="10"/>
        <item x="3"/>
        <item x="1"/>
        <item x="2"/>
        <item x="5"/>
        <item x="9"/>
        <item x="4"/>
        <item x="8"/>
        <item x="0"/>
        <item x="7"/>
        <item x="11"/>
        <item t="default"/>
      </items>
    </pivotField>
    <pivotField axis="axisRow" compact="0" numFmtId="164" outline="0" showAll="0">
      <items count="13">
        <item x="2"/>
        <item x="1"/>
        <item x="4"/>
        <item x="6"/>
        <item x="8"/>
        <item x="9"/>
        <item x="5"/>
        <item x="10"/>
        <item x="11"/>
        <item x="7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9" outline="0" showAll="0"/>
    <pivotField dataField="1" compact="0" numFmtId="165" outline="0" showAll="0"/>
    <pivotField compact="0" numFmtId="165" outline="0" showAll="0"/>
    <pivotField compact="0" numFmtId="165" outline="0" showAll="0"/>
    <pivotField compact="0" outline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3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DD8C6-B6FA-46FC-9F54-D5FD13265CBD}" name="PivotTable3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7">
    <pivotField compact="0" outline="0" showAll="0"/>
    <pivotField compact="0" numFmtId="164" outline="0" showAll="0"/>
    <pivotField compact="0" outline="0" showAll="0"/>
    <pivotField compact="0" numFmtId="164" outline="0" showAll="0"/>
    <pivotField axis="axisRow" compact="0" outline="0" showAll="0" sortType="descending">
      <items count="6">
        <item x="0"/>
        <item x="2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9" outline="0" showAll="0"/>
    <pivotField dataField="1" compact="0" numFmtId="165" outline="0" showAll="0"/>
    <pivotField compact="0" numFmtId="165" outline="0" showAll="0"/>
    <pivotField compact="0" numFmtId="165" outline="0" showAll="0"/>
    <pivotField compact="0" outline="0" showAll="0"/>
  </pivotFields>
  <rowFields count="1">
    <field x="4"/>
  </rowFields>
  <rowItems count="6">
    <i>
      <x/>
    </i>
    <i>
      <x v="3"/>
    </i>
    <i>
      <x v="1"/>
    </i>
    <i>
      <x v="4"/>
    </i>
    <i>
      <x v="2"/>
    </i>
    <i t="grand">
      <x/>
    </i>
  </rowItems>
  <colItems count="1">
    <i/>
  </colItems>
  <dataFields count="1">
    <dataField name="Sum of Revenue" fld="13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63C10-6AAF-43BB-A80E-19FD53A8FB2B}" name="PivotTable4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7">
    <pivotField compact="0" outline="0" showAll="0"/>
    <pivotField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5" outline="0" showAll="0"/>
    <pivotField compact="0" numFmtId="9" outline="0" showAll="0"/>
    <pivotField dataField="1" compact="0" numFmtId="165" outline="0" showAll="0"/>
    <pivotField compact="0" numFmtId="165" outline="0" showAll="0"/>
    <pivotField compact="0" numFmtId="165" outline="0" showAll="0"/>
    <pivotField compact="0" outline="0" showAll="0"/>
  </pivotFields>
  <rowFields count="1">
    <field x="8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Revenue" fld="13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9636E-AACE-45B8-B18C-2C6D0A8CC06B}" name="PivotTable5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7">
    <pivotField compact="0" outline="0" showAll="0"/>
    <pivotField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5" outline="0" showAll="0"/>
    <pivotField compact="0" numFmtId="9" outline="0" showAll="0"/>
    <pivotField compact="0" numFmtId="165" outline="0" showAll="0"/>
    <pivotField compact="0" numFmtId="165" outline="0" showAll="0"/>
    <pivotField dataField="1" compact="0" numFmtId="165" outline="0" showAll="0"/>
    <pivotField compact="0" outline="0" showAll="0"/>
  </pivotFields>
  <rowFields count="1">
    <field x="8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Profit" fld="15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78D1E8-3ABA-44C7-9972-6393ABCB0D81}" name="Table1" displayName="Table1" ref="A1:Q501" totalsRowShown="0" headerRowDxfId="18" headerRowBorderDxfId="16" tableBorderDxfId="17">
  <autoFilter ref="A1:Q501" xr:uid="{00000000-0009-0000-0000-000000000000}"/>
  <sortState xmlns:xlrd2="http://schemas.microsoft.com/office/spreadsheetml/2017/richdata2" ref="A2:Q501">
    <sortCondition ref="A1:A501"/>
  </sortState>
  <tableColumns count="17">
    <tableColumn id="1" xr3:uid="{09BECA9D-229E-4FC0-B8CD-41035D14A9D3}" name="Order_ID"/>
    <tableColumn id="2" xr3:uid="{79EC8785-681C-4F5B-ABE6-3C6923627AA3}" name="Order_Date" dataDxfId="14" totalsRowDxfId="15"/>
    <tableColumn id="17" xr3:uid="{8308D153-CBF1-4914-9137-5C4DA1E6E9AC}" name="Month" dataDxfId="12" totalsRowDxfId="13">
      <calculatedColumnFormula>TEXT(D2,"mmm yyyy")</calculatedColumnFormula>
    </tableColumn>
    <tableColumn id="16" xr3:uid="{65622E79-D1FE-4B85-891C-28C7B673C5AE}" name="Month_Start" dataDxfId="10" totalsRowDxfId="11">
      <calculatedColumnFormula>DATE(YEAR(B2),MONTH(B2),1)</calculatedColumnFormula>
    </tableColumn>
    <tableColumn id="3" xr3:uid="{36441BE6-BBC4-438D-B828-C7DC5B8D1B7D}" name="Region"/>
    <tableColumn id="4" xr3:uid="{16C5119F-9C7D-4CF6-93AB-3758962CA367}" name="City"/>
    <tableColumn id="5" xr3:uid="{5784919F-7123-48D3-BBB5-52BF1BC54E35}" name="Sales_Rep"/>
    <tableColumn id="6" xr3:uid="{DB6AEA75-D5BC-4821-8DED-D74E6A3E3D29}" name="Customer_Segment"/>
    <tableColumn id="7" xr3:uid="{6A246CD0-C4E1-4EC8-B86F-C16E21945937}" name="Category"/>
    <tableColumn id="8" xr3:uid="{C5EACD2F-856E-47C7-B000-4F32504F9073}" name="Product"/>
    <tableColumn id="9" xr3:uid="{69C72871-900A-457D-89E4-1065C4BC5ADA}" name="Quantity"/>
    <tableColumn id="10" xr3:uid="{CA1FB1A5-1DD1-42BC-AF64-9B7D11F0BCA3}" name="Unit_Price" dataDxfId="8" totalsRowDxfId="9"/>
    <tableColumn id="11" xr3:uid="{22FE14E6-5BC7-403F-9456-3F1A5E6021D8}" name="Discount_Rate" dataDxfId="6" totalsRowDxfId="7"/>
    <tableColumn id="12" xr3:uid="{A1FB8817-DB78-4D96-B9A7-2DA6B1AD158E}" name="Revenue" dataDxfId="4" totalsRowDxfId="5"/>
    <tableColumn id="13" xr3:uid="{2239FC42-DAE0-497E-AE9D-B6648614216A}" name="Cost" dataDxfId="2" totalsRowDxfId="3"/>
    <tableColumn id="14" xr3:uid="{DF4C7C7A-876D-4776-92B4-45AF80C0BB81}" name="Profit" dataDxfId="0" totalsRowDxfId="1"/>
    <tableColumn id="15" xr3:uid="{AD63140A-4873-4A64-9851-F0C01C48D9CB}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4CA6-0272-4E93-8BD5-B21C999042B8}">
  <dimension ref="A3:B16"/>
  <sheetViews>
    <sheetView workbookViewId="0">
      <selection activeCell="B28" sqref="B28"/>
    </sheetView>
  </sheetViews>
  <sheetFormatPr defaultRowHeight="15"/>
  <cols>
    <col min="1" max="1" width="11.7109375" bestFit="1" customWidth="1"/>
    <col min="2" max="3" width="15.7109375" bestFit="1" customWidth="1"/>
  </cols>
  <sheetData>
    <row r="3" spans="1:2">
      <c r="A3" s="12" t="s">
        <v>0</v>
      </c>
      <c r="B3" t="s">
        <v>1</v>
      </c>
    </row>
    <row r="4" spans="1:2">
      <c r="A4" s="1">
        <v>45658</v>
      </c>
      <c r="B4" s="2">
        <v>10571.65</v>
      </c>
    </row>
    <row r="5" spans="1:2">
      <c r="A5" s="1">
        <v>45689</v>
      </c>
      <c r="B5" s="2">
        <v>12205.039999999999</v>
      </c>
    </row>
    <row r="6" spans="1:2">
      <c r="A6" s="1">
        <v>45717</v>
      </c>
      <c r="B6" s="2">
        <v>13718.21</v>
      </c>
    </row>
    <row r="7" spans="1:2">
      <c r="A7" s="1">
        <v>45748</v>
      </c>
      <c r="B7" s="2">
        <v>11682.120000000003</v>
      </c>
    </row>
    <row r="8" spans="1:2">
      <c r="A8" s="1">
        <v>45778</v>
      </c>
      <c r="B8" s="2">
        <v>9630.19</v>
      </c>
    </row>
    <row r="9" spans="1:2">
      <c r="A9" s="1">
        <v>45809</v>
      </c>
      <c r="B9" s="2">
        <v>10458.5</v>
      </c>
    </row>
    <row r="10" spans="1:2">
      <c r="A10" s="1">
        <v>45839</v>
      </c>
      <c r="B10" s="2">
        <v>10635.35</v>
      </c>
    </row>
    <row r="11" spans="1:2">
      <c r="A11" s="1">
        <v>45870</v>
      </c>
      <c r="B11" s="2">
        <v>12734.57</v>
      </c>
    </row>
    <row r="12" spans="1:2">
      <c r="A12" s="1">
        <v>45901</v>
      </c>
      <c r="B12" s="2">
        <v>12110.930000000002</v>
      </c>
    </row>
    <row r="13" spans="1:2">
      <c r="A13" s="1">
        <v>45931</v>
      </c>
      <c r="B13" s="2">
        <v>10200.41</v>
      </c>
    </row>
    <row r="14" spans="1:2">
      <c r="A14" s="1">
        <v>45962</v>
      </c>
      <c r="B14" s="2">
        <v>10180.52</v>
      </c>
    </row>
    <row r="15" spans="1:2">
      <c r="A15" s="1">
        <v>45992</v>
      </c>
      <c r="B15" s="2">
        <v>13032.57</v>
      </c>
    </row>
    <row r="16" spans="1:2">
      <c r="A16" s="1" t="s">
        <v>2</v>
      </c>
      <c r="B16" s="2">
        <v>137160.06000000003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D948-9189-425C-9047-4E738FA06D35}">
  <dimension ref="A3:B9"/>
  <sheetViews>
    <sheetView workbookViewId="0">
      <selection activeCell="D15" sqref="D15"/>
    </sheetView>
  </sheetViews>
  <sheetFormatPr defaultRowHeight="15"/>
  <cols>
    <col min="1" max="1" width="11.7109375" bestFit="1" customWidth="1"/>
    <col min="2" max="2" width="15.7109375" bestFit="1" customWidth="1"/>
  </cols>
  <sheetData>
    <row r="3" spans="1:2">
      <c r="A3" s="12" t="s">
        <v>3</v>
      </c>
      <c r="B3" t="s">
        <v>1</v>
      </c>
    </row>
    <row r="4" spans="1:2">
      <c r="A4" t="s">
        <v>4</v>
      </c>
      <c r="B4" s="2">
        <v>31586.069999999985</v>
      </c>
    </row>
    <row r="5" spans="1:2">
      <c r="A5" t="s">
        <v>5</v>
      </c>
      <c r="B5" s="2">
        <v>27147.15</v>
      </c>
    </row>
    <row r="6" spans="1:2">
      <c r="A6" t="s">
        <v>6</v>
      </c>
      <c r="B6" s="2">
        <v>26860.270000000011</v>
      </c>
    </row>
    <row r="7" spans="1:2">
      <c r="A7" t="s">
        <v>7</v>
      </c>
      <c r="B7" s="2">
        <v>26401.109999999997</v>
      </c>
    </row>
    <row r="8" spans="1:2">
      <c r="A8" t="s">
        <v>8</v>
      </c>
      <c r="B8" s="2">
        <v>25165.459999999995</v>
      </c>
    </row>
    <row r="9" spans="1:2">
      <c r="A9" t="s">
        <v>2</v>
      </c>
      <c r="B9" s="2">
        <v>137160.05999999997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8A4A-5BF9-4391-A5FE-0D204DB30B36}">
  <dimension ref="A3:B7"/>
  <sheetViews>
    <sheetView topLeftCell="A6" workbookViewId="0">
      <selection activeCell="J15" sqref="J15"/>
    </sheetView>
  </sheetViews>
  <sheetFormatPr defaultRowHeight="15"/>
  <cols>
    <col min="1" max="1" width="14.140625" bestFit="1" customWidth="1"/>
    <col min="2" max="2" width="15.7109375" bestFit="1" customWidth="1"/>
  </cols>
  <sheetData>
    <row r="3" spans="1:2">
      <c r="A3" s="12" t="s">
        <v>9</v>
      </c>
      <c r="B3" t="s">
        <v>1</v>
      </c>
    </row>
    <row r="4" spans="1:2">
      <c r="A4" t="s">
        <v>10</v>
      </c>
      <c r="B4" s="2">
        <v>94507.28</v>
      </c>
    </row>
    <row r="5" spans="1:2">
      <c r="A5" t="s">
        <v>11</v>
      </c>
      <c r="B5" s="2">
        <v>35728.540000000015</v>
      </c>
    </row>
    <row r="6" spans="1:2">
      <c r="A6" t="s">
        <v>12</v>
      </c>
      <c r="B6" s="2">
        <v>6924.24</v>
      </c>
    </row>
    <row r="7" spans="1:2">
      <c r="A7" t="s">
        <v>2</v>
      </c>
      <c r="B7" s="2">
        <v>137160.06000000003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11E2-183F-4463-82D0-B46E94D07B26}">
  <dimension ref="A3:B7"/>
  <sheetViews>
    <sheetView workbookViewId="0">
      <selection activeCell="L8" sqref="L8"/>
    </sheetView>
  </sheetViews>
  <sheetFormatPr defaultRowHeight="15"/>
  <cols>
    <col min="1" max="1" width="14.140625" bestFit="1" customWidth="1"/>
    <col min="2" max="2" width="12.85546875" bestFit="1" customWidth="1"/>
  </cols>
  <sheetData>
    <row r="3" spans="1:2">
      <c r="A3" s="12" t="s">
        <v>9</v>
      </c>
      <c r="B3" t="s">
        <v>13</v>
      </c>
    </row>
    <row r="4" spans="1:2">
      <c r="A4" t="s">
        <v>10</v>
      </c>
      <c r="B4" s="2">
        <v>27258.429999999989</v>
      </c>
    </row>
    <row r="5" spans="1:2">
      <c r="A5" t="s">
        <v>11</v>
      </c>
      <c r="B5" s="2">
        <v>9954.98</v>
      </c>
    </row>
    <row r="6" spans="1:2">
      <c r="A6" t="s">
        <v>12</v>
      </c>
      <c r="B6" s="2">
        <v>1936.6000000000004</v>
      </c>
    </row>
    <row r="7" spans="1:2">
      <c r="A7" t="s">
        <v>2</v>
      </c>
      <c r="B7" s="2">
        <v>39150.009999999995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98BE-F7A0-41B2-A8B3-040E5ED5FF4B}">
  <dimension ref="A1:H41"/>
  <sheetViews>
    <sheetView tabSelected="1" workbookViewId="0">
      <selection activeCell="C1" sqref="C1:C1048576"/>
    </sheetView>
  </sheetViews>
  <sheetFormatPr defaultRowHeight="15"/>
  <cols>
    <col min="1" max="1" width="23" customWidth="1"/>
    <col min="2" max="2" width="15.7109375" customWidth="1"/>
  </cols>
  <sheetData>
    <row r="1" spans="1:8" ht="23.25">
      <c r="A1" s="15" t="s">
        <v>14</v>
      </c>
      <c r="B1" s="15"/>
      <c r="C1" s="15"/>
      <c r="D1" s="15"/>
      <c r="E1" s="15"/>
      <c r="F1" s="15"/>
      <c r="G1" s="15"/>
      <c r="H1" s="15"/>
    </row>
    <row r="2" spans="1:8" ht="18.75">
      <c r="A2" s="16" t="s">
        <v>15</v>
      </c>
      <c r="B2" s="16"/>
      <c r="C2" s="16"/>
      <c r="D2" s="16"/>
      <c r="E2" s="16"/>
      <c r="F2" s="16"/>
      <c r="G2" s="16"/>
      <c r="H2" s="16"/>
    </row>
    <row r="7" spans="1:8">
      <c r="A7" s="13" t="s">
        <v>16</v>
      </c>
      <c r="B7">
        <f>'Data Checks'!B14</f>
        <v>137160.06000000006</v>
      </c>
    </row>
    <row r="8" spans="1:8">
      <c r="A8" s="13"/>
    </row>
    <row r="9" spans="1:8">
      <c r="A9" s="13" t="s">
        <v>17</v>
      </c>
      <c r="B9" s="9">
        <f>'Data Checks'!B16</f>
        <v>39150.00999999998</v>
      </c>
    </row>
    <row r="10" spans="1:8">
      <c r="A10" s="13"/>
    </row>
    <row r="11" spans="1:8">
      <c r="A11" s="13" t="s">
        <v>18</v>
      </c>
      <c r="B11">
        <f>'Data Checks'!B18</f>
        <v>500</v>
      </c>
    </row>
    <row r="12" spans="1:8">
      <c r="A12" s="13"/>
    </row>
    <row r="13" spans="1:8">
      <c r="A13" s="14" t="s">
        <v>19</v>
      </c>
      <c r="B13" s="8">
        <f>'Data Checks'!B22</f>
        <v>28.543301891235657</v>
      </c>
    </row>
    <row r="28" spans="1:1" ht="23.25">
      <c r="A28" s="17" t="s">
        <v>20</v>
      </c>
    </row>
    <row r="29" spans="1:1">
      <c r="A29" s="13" t="s">
        <v>21</v>
      </c>
    </row>
    <row r="30" spans="1:1">
      <c r="A30" t="s">
        <v>22</v>
      </c>
    </row>
    <row r="31" spans="1:1">
      <c r="A31" s="13" t="s">
        <v>23</v>
      </c>
    </row>
    <row r="32" spans="1:1">
      <c r="A32" t="s">
        <v>24</v>
      </c>
    </row>
    <row r="33" spans="1:1">
      <c r="A33" s="13" t="s">
        <v>25</v>
      </c>
    </row>
    <row r="34" spans="1:1">
      <c r="A34" t="s">
        <v>26</v>
      </c>
    </row>
    <row r="35" spans="1:1">
      <c r="A35" s="13" t="s">
        <v>27</v>
      </c>
    </row>
    <row r="36" spans="1:1">
      <c r="A36" t="s">
        <v>28</v>
      </c>
    </row>
    <row r="37" spans="1:1">
      <c r="A37" s="13" t="s">
        <v>29</v>
      </c>
    </row>
    <row r="38" spans="1:1">
      <c r="A38" t="s">
        <v>30</v>
      </c>
    </row>
    <row r="39" spans="1:1">
      <c r="A39" t="s">
        <v>31</v>
      </c>
    </row>
    <row r="40" spans="1:1">
      <c r="A40" t="s">
        <v>32</v>
      </c>
    </row>
    <row r="41" spans="1:1">
      <c r="A41" t="s">
        <v>33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workbookViewId="0">
      <pane ySplit="1" topLeftCell="A2" activePane="bottomLeft" state="frozen"/>
      <selection pane="bottomLeft" activeCell="D9" sqref="D9"/>
    </sheetView>
  </sheetViews>
  <sheetFormatPr defaultRowHeight="15"/>
  <cols>
    <col min="1" max="5" width="14" customWidth="1"/>
    <col min="6" max="6" width="13" customWidth="1"/>
    <col min="7" max="7" width="16" customWidth="1"/>
    <col min="8" max="8" width="20" customWidth="1"/>
    <col min="9" max="9" width="21.28515625" bestFit="1" customWidth="1"/>
    <col min="10" max="10" width="19" customWidth="1"/>
    <col min="11" max="11" width="20" customWidth="1"/>
    <col min="12" max="12" width="12" customWidth="1"/>
    <col min="13" max="13" width="14" customWidth="1"/>
    <col min="14" max="14" width="16.5703125" bestFit="1" customWidth="1"/>
    <col min="15" max="17" width="14" customWidth="1"/>
    <col min="18" max="18" width="19.85546875" bestFit="1" customWidth="1"/>
  </cols>
  <sheetData>
    <row r="1" spans="1:17">
      <c r="A1" s="7" t="s">
        <v>34</v>
      </c>
      <c r="B1" s="7" t="s">
        <v>35</v>
      </c>
      <c r="C1" s="7" t="s">
        <v>36</v>
      </c>
      <c r="D1" s="7" t="s">
        <v>0</v>
      </c>
      <c r="E1" s="7" t="s">
        <v>3</v>
      </c>
      <c r="F1" s="7" t="s">
        <v>37</v>
      </c>
      <c r="G1" s="7" t="s">
        <v>38</v>
      </c>
      <c r="H1" s="7" t="s">
        <v>39</v>
      </c>
      <c r="I1" s="7" t="s">
        <v>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</row>
    <row r="2" spans="1:17">
      <c r="A2" t="s">
        <v>48</v>
      </c>
      <c r="B2" s="1">
        <v>45985</v>
      </c>
      <c r="C2" s="1" t="str">
        <f t="shared" ref="C2:C65" si="0">TEXT(D2,"mmm yyyy")</f>
        <v>Nov 2025</v>
      </c>
      <c r="D2" s="1">
        <f t="shared" ref="D2:D65" si="1">DATE(YEAR(B2),MONTH(B2),1)</f>
        <v>45962</v>
      </c>
      <c r="E2" t="s">
        <v>4</v>
      </c>
      <c r="F2" t="s">
        <v>49</v>
      </c>
      <c r="G2" t="s">
        <v>50</v>
      </c>
      <c r="H2" t="s">
        <v>51</v>
      </c>
      <c r="I2" t="s">
        <v>11</v>
      </c>
      <c r="J2" t="s">
        <v>52</v>
      </c>
      <c r="K2">
        <v>4</v>
      </c>
      <c r="L2" s="2">
        <v>23.85</v>
      </c>
      <c r="M2" s="3">
        <v>0</v>
      </c>
      <c r="N2" s="2">
        <v>95.4</v>
      </c>
      <c r="O2" s="2">
        <v>70.69</v>
      </c>
      <c r="P2" s="2">
        <v>24.71</v>
      </c>
      <c r="Q2" t="s">
        <v>53</v>
      </c>
    </row>
    <row r="3" spans="1:17">
      <c r="A3" t="s">
        <v>54</v>
      </c>
      <c r="B3" s="1">
        <v>45705</v>
      </c>
      <c r="C3" s="1" t="str">
        <f t="shared" si="0"/>
        <v>Feb 2025</v>
      </c>
      <c r="D3" s="1">
        <f t="shared" si="1"/>
        <v>45689</v>
      </c>
      <c r="E3" t="s">
        <v>4</v>
      </c>
      <c r="F3" t="s">
        <v>55</v>
      </c>
      <c r="G3" t="s">
        <v>56</v>
      </c>
      <c r="H3" t="s">
        <v>57</v>
      </c>
      <c r="I3" t="s">
        <v>11</v>
      </c>
      <c r="J3" t="s">
        <v>58</v>
      </c>
      <c r="K3">
        <v>3</v>
      </c>
      <c r="L3" s="2">
        <v>40.76</v>
      </c>
      <c r="M3" s="3">
        <v>0</v>
      </c>
      <c r="N3" s="2">
        <v>122.28</v>
      </c>
      <c r="O3" s="2">
        <v>89.85</v>
      </c>
      <c r="P3" s="2">
        <v>32.43</v>
      </c>
      <c r="Q3" t="s">
        <v>59</v>
      </c>
    </row>
    <row r="4" spans="1:17">
      <c r="A4" t="s">
        <v>60</v>
      </c>
      <c r="B4" s="1">
        <v>45661</v>
      </c>
      <c r="C4" s="1" t="str">
        <f t="shared" si="0"/>
        <v>Jan 2025</v>
      </c>
      <c r="D4" s="1">
        <f t="shared" si="1"/>
        <v>45658</v>
      </c>
      <c r="E4" t="s">
        <v>7</v>
      </c>
      <c r="F4" t="s">
        <v>61</v>
      </c>
      <c r="G4" t="s">
        <v>62</v>
      </c>
      <c r="H4" t="s">
        <v>57</v>
      </c>
      <c r="I4" t="s">
        <v>11</v>
      </c>
      <c r="J4" t="s">
        <v>63</v>
      </c>
      <c r="K4">
        <v>2</v>
      </c>
      <c r="L4" s="2">
        <v>74.739999999999995</v>
      </c>
      <c r="M4" s="3">
        <v>0.05</v>
      </c>
      <c r="N4" s="2">
        <v>142.01</v>
      </c>
      <c r="O4" s="2">
        <v>82.31</v>
      </c>
      <c r="P4" s="2">
        <v>59.7</v>
      </c>
      <c r="Q4" t="s">
        <v>59</v>
      </c>
    </row>
    <row r="5" spans="1:17">
      <c r="A5" t="s">
        <v>64</v>
      </c>
      <c r="B5" s="1">
        <v>45680</v>
      </c>
      <c r="C5" s="1" t="str">
        <f t="shared" si="0"/>
        <v>Jan 2025</v>
      </c>
      <c r="D5" s="1">
        <f t="shared" si="1"/>
        <v>45658</v>
      </c>
      <c r="E5" t="s">
        <v>6</v>
      </c>
      <c r="F5" t="s">
        <v>65</v>
      </c>
      <c r="G5" t="s">
        <v>62</v>
      </c>
      <c r="H5" t="s">
        <v>66</v>
      </c>
      <c r="I5" t="s">
        <v>10</v>
      </c>
      <c r="J5" t="s">
        <v>67</v>
      </c>
      <c r="K5">
        <v>3</v>
      </c>
      <c r="L5" s="2">
        <v>233.96</v>
      </c>
      <c r="M5" s="3">
        <v>0.1</v>
      </c>
      <c r="N5" s="2">
        <v>631.69000000000005</v>
      </c>
      <c r="O5" s="2">
        <v>381.57</v>
      </c>
      <c r="P5" s="2">
        <v>250.12</v>
      </c>
      <c r="Q5" t="s">
        <v>68</v>
      </c>
    </row>
    <row r="6" spans="1:17">
      <c r="A6" t="s">
        <v>69</v>
      </c>
      <c r="B6" s="1">
        <v>46018</v>
      </c>
      <c r="C6" s="1" t="str">
        <f t="shared" si="0"/>
        <v>Dec 2025</v>
      </c>
      <c r="D6" s="1">
        <f t="shared" si="1"/>
        <v>45992</v>
      </c>
      <c r="E6" t="s">
        <v>8</v>
      </c>
      <c r="F6" t="s">
        <v>70</v>
      </c>
      <c r="G6" t="s">
        <v>71</v>
      </c>
      <c r="H6" t="s">
        <v>57</v>
      </c>
      <c r="I6" t="s">
        <v>11</v>
      </c>
      <c r="J6" t="s">
        <v>52</v>
      </c>
      <c r="K6">
        <v>3</v>
      </c>
      <c r="L6" s="2">
        <v>26.75</v>
      </c>
      <c r="M6" s="3">
        <v>0</v>
      </c>
      <c r="N6" s="2">
        <v>80.25</v>
      </c>
      <c r="O6" s="2">
        <v>62.32</v>
      </c>
      <c r="P6" s="2">
        <v>17.93</v>
      </c>
      <c r="Q6" t="s">
        <v>59</v>
      </c>
    </row>
    <row r="7" spans="1:17">
      <c r="A7" t="s">
        <v>72</v>
      </c>
      <c r="B7" s="1">
        <v>45741</v>
      </c>
      <c r="C7" s="1" t="str">
        <f t="shared" si="0"/>
        <v>Mar 2025</v>
      </c>
      <c r="D7" s="1">
        <f t="shared" si="1"/>
        <v>45717</v>
      </c>
      <c r="E7" t="s">
        <v>5</v>
      </c>
      <c r="F7" t="s">
        <v>73</v>
      </c>
      <c r="G7" t="s">
        <v>56</v>
      </c>
      <c r="H7" t="s">
        <v>51</v>
      </c>
      <c r="I7" t="s">
        <v>12</v>
      </c>
      <c r="J7" t="s">
        <v>74</v>
      </c>
      <c r="K7">
        <v>1</v>
      </c>
      <c r="L7" s="2">
        <v>9.59</v>
      </c>
      <c r="M7" s="3">
        <v>0</v>
      </c>
      <c r="N7" s="2">
        <v>9.59</v>
      </c>
      <c r="O7" s="2">
        <v>6.74</v>
      </c>
      <c r="P7" s="2">
        <v>2.85</v>
      </c>
      <c r="Q7" t="s">
        <v>75</v>
      </c>
    </row>
    <row r="8" spans="1:17">
      <c r="A8" t="s">
        <v>76</v>
      </c>
      <c r="B8" s="1">
        <v>45852</v>
      </c>
      <c r="C8" s="1" t="str">
        <f t="shared" si="0"/>
        <v>Jul 2025</v>
      </c>
      <c r="D8" s="1">
        <f t="shared" si="1"/>
        <v>45839</v>
      </c>
      <c r="E8" t="s">
        <v>8</v>
      </c>
      <c r="F8" t="s">
        <v>70</v>
      </c>
      <c r="G8" t="s">
        <v>50</v>
      </c>
      <c r="H8" t="s">
        <v>57</v>
      </c>
      <c r="I8" t="s">
        <v>12</v>
      </c>
      <c r="J8" t="s">
        <v>77</v>
      </c>
      <c r="K8">
        <v>1</v>
      </c>
      <c r="L8" s="2">
        <v>14.57</v>
      </c>
      <c r="M8" s="3">
        <v>0</v>
      </c>
      <c r="N8" s="2">
        <v>14.57</v>
      </c>
      <c r="O8" s="2">
        <v>8.58</v>
      </c>
      <c r="P8" s="2">
        <v>5.99</v>
      </c>
      <c r="Q8" t="s">
        <v>53</v>
      </c>
    </row>
    <row r="9" spans="1:17">
      <c r="A9" t="s">
        <v>78</v>
      </c>
      <c r="B9" s="1">
        <v>45766</v>
      </c>
      <c r="C9" s="1" t="str">
        <f t="shared" si="0"/>
        <v>Apr 2025</v>
      </c>
      <c r="D9" s="1">
        <f t="shared" si="1"/>
        <v>45748</v>
      </c>
      <c r="E9" t="s">
        <v>5</v>
      </c>
      <c r="F9" t="s">
        <v>79</v>
      </c>
      <c r="G9" t="s">
        <v>71</v>
      </c>
      <c r="H9" t="s">
        <v>66</v>
      </c>
      <c r="I9" t="s">
        <v>10</v>
      </c>
      <c r="J9" t="s">
        <v>80</v>
      </c>
      <c r="K9">
        <v>1</v>
      </c>
      <c r="L9" s="2">
        <v>151.47</v>
      </c>
      <c r="M9" s="3">
        <v>0.1</v>
      </c>
      <c r="N9" s="2">
        <v>136.32</v>
      </c>
      <c r="O9" s="2">
        <v>85.26</v>
      </c>
      <c r="P9" s="2">
        <v>51.06</v>
      </c>
      <c r="Q9" t="s">
        <v>75</v>
      </c>
    </row>
    <row r="10" spans="1:17">
      <c r="A10" t="s">
        <v>81</v>
      </c>
      <c r="B10" s="1">
        <v>45956</v>
      </c>
      <c r="C10" s="1" t="str">
        <f t="shared" si="0"/>
        <v>Oct 2025</v>
      </c>
      <c r="D10" s="1">
        <f t="shared" si="1"/>
        <v>45931</v>
      </c>
      <c r="E10" t="s">
        <v>8</v>
      </c>
      <c r="F10" t="s">
        <v>82</v>
      </c>
      <c r="G10" t="s">
        <v>83</v>
      </c>
      <c r="H10" t="s">
        <v>66</v>
      </c>
      <c r="I10" t="s">
        <v>12</v>
      </c>
      <c r="J10" t="s">
        <v>74</v>
      </c>
      <c r="K10">
        <v>1</v>
      </c>
      <c r="L10" s="2">
        <v>11.19</v>
      </c>
      <c r="M10" s="3">
        <v>0.15</v>
      </c>
      <c r="N10" s="2">
        <v>9.51</v>
      </c>
      <c r="O10" s="2">
        <v>7.48</v>
      </c>
      <c r="P10" s="2">
        <v>2.0299999999999998</v>
      </c>
      <c r="Q10" t="s">
        <v>68</v>
      </c>
    </row>
    <row r="11" spans="1:17">
      <c r="A11" t="s">
        <v>84</v>
      </c>
      <c r="B11" s="1">
        <v>46006</v>
      </c>
      <c r="C11" s="1" t="str">
        <f t="shared" si="0"/>
        <v>Dec 2025</v>
      </c>
      <c r="D11" s="1">
        <f t="shared" si="1"/>
        <v>45992</v>
      </c>
      <c r="E11" t="s">
        <v>4</v>
      </c>
      <c r="F11" t="s">
        <v>49</v>
      </c>
      <c r="G11" t="s">
        <v>85</v>
      </c>
      <c r="H11" t="s">
        <v>66</v>
      </c>
      <c r="I11" t="s">
        <v>12</v>
      </c>
      <c r="J11" t="s">
        <v>77</v>
      </c>
      <c r="K11">
        <v>1</v>
      </c>
      <c r="L11" s="2">
        <v>14.76</v>
      </c>
      <c r="M11" s="3">
        <v>0.1</v>
      </c>
      <c r="N11" s="2">
        <v>13.28</v>
      </c>
      <c r="O11" s="2">
        <v>10.02</v>
      </c>
      <c r="P11" s="2">
        <v>3.26</v>
      </c>
      <c r="Q11" t="s">
        <v>59</v>
      </c>
    </row>
    <row r="12" spans="1:17">
      <c r="A12" t="s">
        <v>86</v>
      </c>
      <c r="B12" s="1">
        <v>45986</v>
      </c>
      <c r="C12" s="1" t="str">
        <f t="shared" si="0"/>
        <v>Nov 2025</v>
      </c>
      <c r="D12" s="1">
        <f t="shared" si="1"/>
        <v>45962</v>
      </c>
      <c r="E12" t="s">
        <v>6</v>
      </c>
      <c r="F12" t="s">
        <v>65</v>
      </c>
      <c r="G12" t="s">
        <v>83</v>
      </c>
      <c r="H12" t="s">
        <v>66</v>
      </c>
      <c r="I12" t="s">
        <v>12</v>
      </c>
      <c r="J12" t="s">
        <v>87</v>
      </c>
      <c r="K12">
        <v>2</v>
      </c>
      <c r="L12" s="2">
        <v>11.22</v>
      </c>
      <c r="M12" s="3">
        <v>0</v>
      </c>
      <c r="N12" s="2">
        <v>22.44</v>
      </c>
      <c r="O12" s="2">
        <v>18.09</v>
      </c>
      <c r="P12" s="2">
        <v>4.3499999999999996</v>
      </c>
      <c r="Q12" t="s">
        <v>53</v>
      </c>
    </row>
    <row r="13" spans="1:17">
      <c r="A13" t="s">
        <v>88</v>
      </c>
      <c r="B13" s="1">
        <v>45978</v>
      </c>
      <c r="C13" s="1" t="str">
        <f t="shared" si="0"/>
        <v>Nov 2025</v>
      </c>
      <c r="D13" s="1">
        <f t="shared" si="1"/>
        <v>45962</v>
      </c>
      <c r="E13" t="s">
        <v>4</v>
      </c>
      <c r="F13" t="s">
        <v>49</v>
      </c>
      <c r="G13" t="s">
        <v>62</v>
      </c>
      <c r="H13" t="s">
        <v>57</v>
      </c>
      <c r="I13" t="s">
        <v>12</v>
      </c>
      <c r="J13" t="s">
        <v>77</v>
      </c>
      <c r="K13">
        <v>3</v>
      </c>
      <c r="L13" s="2">
        <v>14</v>
      </c>
      <c r="M13" s="3">
        <v>0</v>
      </c>
      <c r="N13" s="2">
        <v>42</v>
      </c>
      <c r="O13" s="2">
        <v>28.64</v>
      </c>
      <c r="P13" s="2">
        <v>13.36</v>
      </c>
      <c r="Q13" t="s">
        <v>53</v>
      </c>
    </row>
    <row r="14" spans="1:17">
      <c r="A14" t="s">
        <v>89</v>
      </c>
      <c r="B14" s="1">
        <v>45715</v>
      </c>
      <c r="C14" s="1" t="str">
        <f t="shared" si="0"/>
        <v>Feb 2025</v>
      </c>
      <c r="D14" s="1">
        <f t="shared" si="1"/>
        <v>45689</v>
      </c>
      <c r="E14" t="s">
        <v>8</v>
      </c>
      <c r="F14" t="s">
        <v>90</v>
      </c>
      <c r="G14" t="s">
        <v>91</v>
      </c>
      <c r="H14" t="s">
        <v>51</v>
      </c>
      <c r="I14" t="s">
        <v>12</v>
      </c>
      <c r="J14" t="s">
        <v>74</v>
      </c>
      <c r="K14">
        <v>1</v>
      </c>
      <c r="L14" s="2">
        <v>9.5299999999999994</v>
      </c>
      <c r="M14" s="3">
        <v>0.15</v>
      </c>
      <c r="N14" s="2">
        <v>8.1</v>
      </c>
      <c r="O14" s="2">
        <v>7.66</v>
      </c>
      <c r="P14" s="2">
        <v>0.44</v>
      </c>
      <c r="Q14" t="s">
        <v>68</v>
      </c>
    </row>
    <row r="15" spans="1:17">
      <c r="A15" t="s">
        <v>92</v>
      </c>
      <c r="B15" s="1">
        <v>45723</v>
      </c>
      <c r="C15" s="1" t="str">
        <f t="shared" si="0"/>
        <v>Mar 2025</v>
      </c>
      <c r="D15" s="1">
        <f t="shared" si="1"/>
        <v>45717</v>
      </c>
      <c r="E15" t="s">
        <v>7</v>
      </c>
      <c r="F15" t="s">
        <v>61</v>
      </c>
      <c r="G15" t="s">
        <v>56</v>
      </c>
      <c r="H15" t="s">
        <v>66</v>
      </c>
      <c r="I15" t="s">
        <v>10</v>
      </c>
      <c r="J15" t="s">
        <v>67</v>
      </c>
      <c r="K15">
        <v>8</v>
      </c>
      <c r="L15" s="2">
        <v>196.63</v>
      </c>
      <c r="M15" s="3">
        <v>0.15</v>
      </c>
      <c r="N15" s="2">
        <v>1337.08</v>
      </c>
      <c r="O15" s="2">
        <v>1229.69</v>
      </c>
      <c r="P15" s="2">
        <v>107.39</v>
      </c>
      <c r="Q15" t="s">
        <v>59</v>
      </c>
    </row>
    <row r="16" spans="1:17">
      <c r="A16" t="s">
        <v>93</v>
      </c>
      <c r="B16" s="1">
        <v>45862</v>
      </c>
      <c r="C16" s="1" t="str">
        <f t="shared" si="0"/>
        <v>Jul 2025</v>
      </c>
      <c r="D16" s="1">
        <f t="shared" si="1"/>
        <v>45839</v>
      </c>
      <c r="E16" t="s">
        <v>8</v>
      </c>
      <c r="F16" t="s">
        <v>70</v>
      </c>
      <c r="G16" t="s">
        <v>94</v>
      </c>
      <c r="H16" t="s">
        <v>66</v>
      </c>
      <c r="I16" t="s">
        <v>10</v>
      </c>
      <c r="J16" t="s">
        <v>80</v>
      </c>
      <c r="K16">
        <v>2</v>
      </c>
      <c r="L16" s="2">
        <v>152.08000000000001</v>
      </c>
      <c r="M16" s="3">
        <v>0</v>
      </c>
      <c r="N16" s="2">
        <v>304.16000000000003</v>
      </c>
      <c r="O16" s="2">
        <v>180.78</v>
      </c>
      <c r="P16" s="2">
        <v>123.38</v>
      </c>
      <c r="Q16" t="s">
        <v>68</v>
      </c>
    </row>
    <row r="17" spans="1:17">
      <c r="A17" t="s">
        <v>95</v>
      </c>
      <c r="B17" s="1">
        <v>45959</v>
      </c>
      <c r="C17" s="1" t="str">
        <f t="shared" si="0"/>
        <v>Oct 2025</v>
      </c>
      <c r="D17" s="1">
        <f t="shared" si="1"/>
        <v>45931</v>
      </c>
      <c r="E17" t="s">
        <v>8</v>
      </c>
      <c r="F17" t="s">
        <v>70</v>
      </c>
      <c r="G17" t="s">
        <v>85</v>
      </c>
      <c r="H17" t="s">
        <v>66</v>
      </c>
      <c r="I17" t="s">
        <v>11</v>
      </c>
      <c r="J17" t="s">
        <v>52</v>
      </c>
      <c r="K17">
        <v>1</v>
      </c>
      <c r="L17" s="2">
        <v>25.97</v>
      </c>
      <c r="M17" s="3">
        <v>0</v>
      </c>
      <c r="N17" s="2">
        <v>25.97</v>
      </c>
      <c r="O17" s="2">
        <v>14.03</v>
      </c>
      <c r="P17" s="2">
        <v>11.94</v>
      </c>
      <c r="Q17" t="s">
        <v>68</v>
      </c>
    </row>
    <row r="18" spans="1:17">
      <c r="A18" t="s">
        <v>96</v>
      </c>
      <c r="B18" s="1">
        <v>45800</v>
      </c>
      <c r="C18" s="1" t="str">
        <f t="shared" si="0"/>
        <v>May 2025</v>
      </c>
      <c r="D18" s="1">
        <f t="shared" si="1"/>
        <v>45778</v>
      </c>
      <c r="E18" t="s">
        <v>5</v>
      </c>
      <c r="F18" t="s">
        <v>97</v>
      </c>
      <c r="G18" t="s">
        <v>50</v>
      </c>
      <c r="H18" t="s">
        <v>51</v>
      </c>
      <c r="I18" t="s">
        <v>10</v>
      </c>
      <c r="J18" t="s">
        <v>67</v>
      </c>
      <c r="K18">
        <v>1</v>
      </c>
      <c r="L18" s="2">
        <v>195.11</v>
      </c>
      <c r="M18" s="3">
        <v>0.15</v>
      </c>
      <c r="N18" s="2">
        <v>165.84</v>
      </c>
      <c r="O18" s="2">
        <v>135.18</v>
      </c>
      <c r="P18" s="2">
        <v>30.66</v>
      </c>
      <c r="Q18" t="s">
        <v>53</v>
      </c>
    </row>
    <row r="19" spans="1:17">
      <c r="A19" t="s">
        <v>98</v>
      </c>
      <c r="B19" s="1">
        <v>45707</v>
      </c>
      <c r="C19" s="1" t="str">
        <f t="shared" si="0"/>
        <v>Feb 2025</v>
      </c>
      <c r="D19" s="1">
        <f t="shared" si="1"/>
        <v>45689</v>
      </c>
      <c r="E19" t="s">
        <v>8</v>
      </c>
      <c r="F19" t="s">
        <v>82</v>
      </c>
      <c r="G19" t="s">
        <v>50</v>
      </c>
      <c r="H19" t="s">
        <v>66</v>
      </c>
      <c r="I19" t="s">
        <v>10</v>
      </c>
      <c r="J19" t="s">
        <v>67</v>
      </c>
      <c r="K19">
        <v>2</v>
      </c>
      <c r="L19" s="2">
        <v>207.99</v>
      </c>
      <c r="M19" s="3">
        <v>0</v>
      </c>
      <c r="N19" s="2">
        <v>415.98</v>
      </c>
      <c r="O19" s="2">
        <v>300.33999999999997</v>
      </c>
      <c r="P19" s="2">
        <v>115.64</v>
      </c>
      <c r="Q19" t="s">
        <v>59</v>
      </c>
    </row>
    <row r="20" spans="1:17">
      <c r="A20" t="s">
        <v>99</v>
      </c>
      <c r="B20" s="1">
        <v>45713</v>
      </c>
      <c r="C20" s="1" t="str">
        <f t="shared" si="0"/>
        <v>Feb 2025</v>
      </c>
      <c r="D20" s="1">
        <f t="shared" si="1"/>
        <v>45689</v>
      </c>
      <c r="E20" t="s">
        <v>7</v>
      </c>
      <c r="F20" t="s">
        <v>61</v>
      </c>
      <c r="G20" t="s">
        <v>85</v>
      </c>
      <c r="H20" t="s">
        <v>57</v>
      </c>
      <c r="I20" t="s">
        <v>11</v>
      </c>
      <c r="J20" t="s">
        <v>58</v>
      </c>
      <c r="K20">
        <v>1</v>
      </c>
      <c r="L20" s="2">
        <v>44.94</v>
      </c>
      <c r="M20" s="3">
        <v>0.1</v>
      </c>
      <c r="N20" s="2">
        <v>40.450000000000003</v>
      </c>
      <c r="O20" s="2">
        <v>25.84</v>
      </c>
      <c r="P20" s="2">
        <v>14.61</v>
      </c>
      <c r="Q20" t="s">
        <v>53</v>
      </c>
    </row>
    <row r="21" spans="1:17">
      <c r="A21" t="s">
        <v>100</v>
      </c>
      <c r="B21" s="1">
        <v>45683</v>
      </c>
      <c r="C21" s="1" t="str">
        <f t="shared" si="0"/>
        <v>Jan 2025</v>
      </c>
      <c r="D21" s="1">
        <f t="shared" si="1"/>
        <v>45658</v>
      </c>
      <c r="E21" t="s">
        <v>7</v>
      </c>
      <c r="F21" t="s">
        <v>101</v>
      </c>
      <c r="G21" t="s">
        <v>56</v>
      </c>
      <c r="H21" t="s">
        <v>57</v>
      </c>
      <c r="I21" t="s">
        <v>10</v>
      </c>
      <c r="J21" t="s">
        <v>102</v>
      </c>
      <c r="K21">
        <v>5</v>
      </c>
      <c r="L21" s="2">
        <v>44.53</v>
      </c>
      <c r="M21" s="3">
        <v>0</v>
      </c>
      <c r="N21" s="2">
        <v>222.65</v>
      </c>
      <c r="O21" s="2">
        <v>126.89</v>
      </c>
      <c r="P21" s="2">
        <v>95.76</v>
      </c>
      <c r="Q21" t="s">
        <v>53</v>
      </c>
    </row>
    <row r="22" spans="1:17">
      <c r="A22" t="s">
        <v>103</v>
      </c>
      <c r="B22" s="1">
        <v>45742</v>
      </c>
      <c r="C22" s="1" t="str">
        <f t="shared" si="0"/>
        <v>Mar 2025</v>
      </c>
      <c r="D22" s="1">
        <f t="shared" si="1"/>
        <v>45717</v>
      </c>
      <c r="E22" t="s">
        <v>4</v>
      </c>
      <c r="F22" t="s">
        <v>104</v>
      </c>
      <c r="G22" t="s">
        <v>91</v>
      </c>
      <c r="H22" t="s">
        <v>51</v>
      </c>
      <c r="I22" t="s">
        <v>12</v>
      </c>
      <c r="J22" t="s">
        <v>87</v>
      </c>
      <c r="K22">
        <v>10</v>
      </c>
      <c r="L22" s="2">
        <v>11.5</v>
      </c>
      <c r="M22" s="3">
        <v>0.1</v>
      </c>
      <c r="N22" s="2">
        <v>103.5</v>
      </c>
      <c r="O22" s="2">
        <v>69.64</v>
      </c>
      <c r="P22" s="2">
        <v>33.86</v>
      </c>
      <c r="Q22" t="s">
        <v>68</v>
      </c>
    </row>
    <row r="23" spans="1:17">
      <c r="A23" t="s">
        <v>105</v>
      </c>
      <c r="B23" s="1">
        <v>45809</v>
      </c>
      <c r="C23" s="1" t="str">
        <f t="shared" si="0"/>
        <v>Jun 2025</v>
      </c>
      <c r="D23" s="1">
        <f t="shared" si="1"/>
        <v>45809</v>
      </c>
      <c r="E23" t="s">
        <v>4</v>
      </c>
      <c r="F23" t="s">
        <v>55</v>
      </c>
      <c r="G23" t="s">
        <v>83</v>
      </c>
      <c r="H23" t="s">
        <v>51</v>
      </c>
      <c r="I23" t="s">
        <v>11</v>
      </c>
      <c r="J23" t="s">
        <v>52</v>
      </c>
      <c r="K23">
        <v>3</v>
      </c>
      <c r="L23" s="2">
        <v>25.48</v>
      </c>
      <c r="M23" s="3">
        <v>0.05</v>
      </c>
      <c r="N23" s="2">
        <v>72.62</v>
      </c>
      <c r="O23" s="2">
        <v>41.06</v>
      </c>
      <c r="P23" s="2">
        <v>31.56</v>
      </c>
      <c r="Q23" t="s">
        <v>53</v>
      </c>
    </row>
    <row r="24" spans="1:17">
      <c r="A24" t="s">
        <v>106</v>
      </c>
      <c r="B24" s="1">
        <v>45753</v>
      </c>
      <c r="C24" s="1" t="str">
        <f t="shared" si="0"/>
        <v>Apr 2025</v>
      </c>
      <c r="D24" s="1">
        <f t="shared" si="1"/>
        <v>45748</v>
      </c>
      <c r="E24" t="s">
        <v>4</v>
      </c>
      <c r="F24" t="s">
        <v>49</v>
      </c>
      <c r="G24" t="s">
        <v>94</v>
      </c>
      <c r="H24" t="s">
        <v>66</v>
      </c>
      <c r="I24" t="s">
        <v>11</v>
      </c>
      <c r="J24" t="s">
        <v>107</v>
      </c>
      <c r="K24">
        <v>1</v>
      </c>
      <c r="L24" s="2">
        <v>59.93</v>
      </c>
      <c r="M24" s="3">
        <v>0.1</v>
      </c>
      <c r="N24" s="2">
        <v>53.94</v>
      </c>
      <c r="O24" s="2">
        <v>33.32</v>
      </c>
      <c r="P24" s="2">
        <v>20.62</v>
      </c>
      <c r="Q24" t="s">
        <v>53</v>
      </c>
    </row>
    <row r="25" spans="1:17">
      <c r="A25" t="s">
        <v>108</v>
      </c>
      <c r="B25" s="1">
        <v>45872</v>
      </c>
      <c r="C25" s="1" t="str">
        <f t="shared" si="0"/>
        <v>Aug 2025</v>
      </c>
      <c r="D25" s="1">
        <f t="shared" si="1"/>
        <v>45870</v>
      </c>
      <c r="E25" t="s">
        <v>6</v>
      </c>
      <c r="F25" t="s">
        <v>109</v>
      </c>
      <c r="G25" t="s">
        <v>71</v>
      </c>
      <c r="H25" t="s">
        <v>57</v>
      </c>
      <c r="I25" t="s">
        <v>10</v>
      </c>
      <c r="J25" t="s">
        <v>102</v>
      </c>
      <c r="K25">
        <v>3</v>
      </c>
      <c r="L25" s="2">
        <v>38.78</v>
      </c>
      <c r="M25" s="3">
        <v>0.05</v>
      </c>
      <c r="N25" s="2">
        <v>110.52</v>
      </c>
      <c r="O25" s="2">
        <v>67.63</v>
      </c>
      <c r="P25" s="2">
        <v>42.89</v>
      </c>
      <c r="Q25" t="s">
        <v>68</v>
      </c>
    </row>
    <row r="26" spans="1:17">
      <c r="A26" t="s">
        <v>110</v>
      </c>
      <c r="B26" s="1">
        <v>46001</v>
      </c>
      <c r="C26" s="1" t="str">
        <f t="shared" si="0"/>
        <v>Dec 2025</v>
      </c>
      <c r="D26" s="1">
        <f t="shared" si="1"/>
        <v>45992</v>
      </c>
      <c r="E26" t="s">
        <v>4</v>
      </c>
      <c r="F26" t="s">
        <v>104</v>
      </c>
      <c r="G26" t="s">
        <v>85</v>
      </c>
      <c r="H26" t="s">
        <v>51</v>
      </c>
      <c r="I26" t="s">
        <v>10</v>
      </c>
      <c r="J26" t="s">
        <v>80</v>
      </c>
      <c r="K26">
        <v>2</v>
      </c>
      <c r="L26" s="2">
        <v>165.66</v>
      </c>
      <c r="M26" s="3">
        <v>0</v>
      </c>
      <c r="N26" s="2">
        <v>331.32</v>
      </c>
      <c r="O26" s="2">
        <v>173.21</v>
      </c>
      <c r="P26" s="2">
        <v>158.11000000000001</v>
      </c>
      <c r="Q26" t="s">
        <v>68</v>
      </c>
    </row>
    <row r="27" spans="1:17">
      <c r="A27" t="s">
        <v>111</v>
      </c>
      <c r="B27" s="1">
        <v>45917</v>
      </c>
      <c r="C27" s="1" t="str">
        <f t="shared" si="0"/>
        <v>Sep 2025</v>
      </c>
      <c r="D27" s="1">
        <f t="shared" si="1"/>
        <v>45901</v>
      </c>
      <c r="E27" t="s">
        <v>5</v>
      </c>
      <c r="F27" t="s">
        <v>97</v>
      </c>
      <c r="G27" t="s">
        <v>71</v>
      </c>
      <c r="H27" t="s">
        <v>66</v>
      </c>
      <c r="I27" t="s">
        <v>12</v>
      </c>
      <c r="J27" t="s">
        <v>112</v>
      </c>
      <c r="K27">
        <v>6</v>
      </c>
      <c r="L27" s="2">
        <v>8.75</v>
      </c>
      <c r="M27" s="3">
        <v>0</v>
      </c>
      <c r="N27" s="2">
        <v>52.5</v>
      </c>
      <c r="O27" s="2">
        <v>33.119999999999997</v>
      </c>
      <c r="P27" s="2">
        <v>19.38</v>
      </c>
      <c r="Q27" t="s">
        <v>53</v>
      </c>
    </row>
    <row r="28" spans="1:17">
      <c r="A28" t="s">
        <v>113</v>
      </c>
      <c r="B28" s="1">
        <v>45999</v>
      </c>
      <c r="C28" s="1" t="str">
        <f t="shared" si="0"/>
        <v>Dec 2025</v>
      </c>
      <c r="D28" s="1">
        <f t="shared" si="1"/>
        <v>45992</v>
      </c>
      <c r="E28" t="s">
        <v>8</v>
      </c>
      <c r="F28" t="s">
        <v>90</v>
      </c>
      <c r="G28" t="s">
        <v>83</v>
      </c>
      <c r="H28" t="s">
        <v>57</v>
      </c>
      <c r="I28" t="s">
        <v>10</v>
      </c>
      <c r="J28" t="s">
        <v>80</v>
      </c>
      <c r="K28">
        <v>6</v>
      </c>
      <c r="L28" s="2">
        <v>138.41999999999999</v>
      </c>
      <c r="M28" s="3">
        <v>0</v>
      </c>
      <c r="N28" s="2">
        <v>830.52</v>
      </c>
      <c r="O28" s="2">
        <v>497.76</v>
      </c>
      <c r="P28" s="2">
        <v>332.76</v>
      </c>
      <c r="Q28" t="s">
        <v>59</v>
      </c>
    </row>
    <row r="29" spans="1:17">
      <c r="A29" t="s">
        <v>114</v>
      </c>
      <c r="B29" s="1">
        <v>45967</v>
      </c>
      <c r="C29" s="1" t="str">
        <f t="shared" si="0"/>
        <v>Nov 2025</v>
      </c>
      <c r="D29" s="1">
        <f t="shared" si="1"/>
        <v>45962</v>
      </c>
      <c r="E29" t="s">
        <v>6</v>
      </c>
      <c r="F29" t="s">
        <v>109</v>
      </c>
      <c r="G29" t="s">
        <v>85</v>
      </c>
      <c r="H29" t="s">
        <v>66</v>
      </c>
      <c r="I29" t="s">
        <v>11</v>
      </c>
      <c r="J29" t="s">
        <v>115</v>
      </c>
      <c r="K29">
        <v>1</v>
      </c>
      <c r="L29" s="2">
        <v>228.7</v>
      </c>
      <c r="M29" s="3">
        <v>0.05</v>
      </c>
      <c r="N29" s="2">
        <v>217.26</v>
      </c>
      <c r="O29" s="2">
        <v>153.6</v>
      </c>
      <c r="P29" s="2">
        <v>63.66</v>
      </c>
      <c r="Q29" t="s">
        <v>75</v>
      </c>
    </row>
    <row r="30" spans="1:17">
      <c r="A30" t="s">
        <v>116</v>
      </c>
      <c r="B30" s="1">
        <v>45799</v>
      </c>
      <c r="C30" s="1" t="str">
        <f t="shared" si="0"/>
        <v>May 2025</v>
      </c>
      <c r="D30" s="1">
        <f t="shared" si="1"/>
        <v>45778</v>
      </c>
      <c r="E30" t="s">
        <v>7</v>
      </c>
      <c r="F30" t="s">
        <v>117</v>
      </c>
      <c r="G30" t="s">
        <v>50</v>
      </c>
      <c r="H30" t="s">
        <v>66</v>
      </c>
      <c r="I30" t="s">
        <v>11</v>
      </c>
      <c r="J30" t="s">
        <v>52</v>
      </c>
      <c r="K30">
        <v>2</v>
      </c>
      <c r="L30" s="2">
        <v>23.22</v>
      </c>
      <c r="M30" s="3">
        <v>0.05</v>
      </c>
      <c r="N30" s="2">
        <v>44.12</v>
      </c>
      <c r="O30" s="2">
        <v>26.4</v>
      </c>
      <c r="P30" s="2">
        <v>17.72</v>
      </c>
      <c r="Q30" t="s">
        <v>53</v>
      </c>
    </row>
    <row r="31" spans="1:17">
      <c r="A31" t="s">
        <v>118</v>
      </c>
      <c r="B31" s="1">
        <v>45715</v>
      </c>
      <c r="C31" s="1" t="str">
        <f t="shared" si="0"/>
        <v>Feb 2025</v>
      </c>
      <c r="D31" s="1">
        <f t="shared" si="1"/>
        <v>45689</v>
      </c>
      <c r="E31" t="s">
        <v>7</v>
      </c>
      <c r="F31" t="s">
        <v>61</v>
      </c>
      <c r="G31" t="s">
        <v>94</v>
      </c>
      <c r="H31" t="s">
        <v>57</v>
      </c>
      <c r="I31" t="s">
        <v>11</v>
      </c>
      <c r="J31" t="s">
        <v>58</v>
      </c>
      <c r="K31">
        <v>3</v>
      </c>
      <c r="L31" s="2">
        <v>48.76</v>
      </c>
      <c r="M31" s="3">
        <v>0.15</v>
      </c>
      <c r="N31" s="2">
        <v>124.34</v>
      </c>
      <c r="O31" s="2">
        <v>100.31</v>
      </c>
      <c r="P31" s="2">
        <v>24.03</v>
      </c>
      <c r="Q31" t="s">
        <v>59</v>
      </c>
    </row>
    <row r="32" spans="1:17">
      <c r="A32" t="s">
        <v>119</v>
      </c>
      <c r="B32" s="1">
        <v>45678</v>
      </c>
      <c r="C32" s="1" t="str">
        <f t="shared" si="0"/>
        <v>Jan 2025</v>
      </c>
      <c r="D32" s="1">
        <f t="shared" si="1"/>
        <v>45658</v>
      </c>
      <c r="E32" t="s">
        <v>7</v>
      </c>
      <c r="F32" t="s">
        <v>117</v>
      </c>
      <c r="G32" t="s">
        <v>83</v>
      </c>
      <c r="H32" t="s">
        <v>51</v>
      </c>
      <c r="I32" t="s">
        <v>12</v>
      </c>
      <c r="J32" t="s">
        <v>112</v>
      </c>
      <c r="K32">
        <v>4</v>
      </c>
      <c r="L32" s="2">
        <v>8.3699999999999992</v>
      </c>
      <c r="M32" s="3">
        <v>0.05</v>
      </c>
      <c r="N32" s="2">
        <v>31.81</v>
      </c>
      <c r="O32" s="2">
        <v>25.25</v>
      </c>
      <c r="P32" s="2">
        <v>6.56</v>
      </c>
      <c r="Q32" t="s">
        <v>68</v>
      </c>
    </row>
    <row r="33" spans="1:17">
      <c r="A33" t="s">
        <v>120</v>
      </c>
      <c r="B33" s="1">
        <v>45748</v>
      </c>
      <c r="C33" s="1" t="str">
        <f t="shared" si="0"/>
        <v>Apr 2025</v>
      </c>
      <c r="D33" s="1">
        <f t="shared" si="1"/>
        <v>45748</v>
      </c>
      <c r="E33" t="s">
        <v>5</v>
      </c>
      <c r="F33" t="s">
        <v>97</v>
      </c>
      <c r="G33" t="s">
        <v>83</v>
      </c>
      <c r="H33" t="s">
        <v>66</v>
      </c>
      <c r="I33" t="s">
        <v>12</v>
      </c>
      <c r="J33" t="s">
        <v>87</v>
      </c>
      <c r="K33">
        <v>1</v>
      </c>
      <c r="L33" s="2">
        <v>13.24</v>
      </c>
      <c r="M33" s="3">
        <v>0.1</v>
      </c>
      <c r="N33" s="2">
        <v>11.92</v>
      </c>
      <c r="O33" s="2">
        <v>10.07</v>
      </c>
      <c r="P33" s="2">
        <v>1.85</v>
      </c>
      <c r="Q33" t="s">
        <v>53</v>
      </c>
    </row>
    <row r="34" spans="1:17">
      <c r="A34" t="s">
        <v>121</v>
      </c>
      <c r="B34" s="1">
        <v>45853</v>
      </c>
      <c r="C34" s="1" t="str">
        <f t="shared" si="0"/>
        <v>Jul 2025</v>
      </c>
      <c r="D34" s="1">
        <f t="shared" si="1"/>
        <v>45839</v>
      </c>
      <c r="E34" t="s">
        <v>5</v>
      </c>
      <c r="F34" t="s">
        <v>79</v>
      </c>
      <c r="G34" t="s">
        <v>94</v>
      </c>
      <c r="H34" t="s">
        <v>66</v>
      </c>
      <c r="I34" t="s">
        <v>11</v>
      </c>
      <c r="J34" t="s">
        <v>63</v>
      </c>
      <c r="K34">
        <v>1</v>
      </c>
      <c r="L34" s="2">
        <v>86.37</v>
      </c>
      <c r="M34" s="3">
        <v>0.1</v>
      </c>
      <c r="N34" s="2">
        <v>77.73</v>
      </c>
      <c r="O34" s="2">
        <v>53.97</v>
      </c>
      <c r="P34" s="2">
        <v>23.76</v>
      </c>
      <c r="Q34" t="s">
        <v>68</v>
      </c>
    </row>
    <row r="35" spans="1:17">
      <c r="A35" t="s">
        <v>122</v>
      </c>
      <c r="B35" s="1">
        <v>45862</v>
      </c>
      <c r="C35" s="1" t="str">
        <f t="shared" si="0"/>
        <v>Jul 2025</v>
      </c>
      <c r="D35" s="1">
        <f t="shared" si="1"/>
        <v>45839</v>
      </c>
      <c r="E35" t="s">
        <v>4</v>
      </c>
      <c r="F35" t="s">
        <v>55</v>
      </c>
      <c r="G35" t="s">
        <v>62</v>
      </c>
      <c r="H35" t="s">
        <v>51</v>
      </c>
      <c r="I35" t="s">
        <v>12</v>
      </c>
      <c r="J35" t="s">
        <v>74</v>
      </c>
      <c r="K35">
        <v>5</v>
      </c>
      <c r="L35" s="2">
        <v>11.13</v>
      </c>
      <c r="M35" s="3">
        <v>0.05</v>
      </c>
      <c r="N35" s="2">
        <v>52.87</v>
      </c>
      <c r="O35" s="2">
        <v>34.799999999999997</v>
      </c>
      <c r="P35" s="2">
        <v>18.07</v>
      </c>
      <c r="Q35" t="s">
        <v>53</v>
      </c>
    </row>
    <row r="36" spans="1:17">
      <c r="A36" t="s">
        <v>123</v>
      </c>
      <c r="B36" s="1">
        <v>45791</v>
      </c>
      <c r="C36" s="1" t="str">
        <f t="shared" si="0"/>
        <v>May 2025</v>
      </c>
      <c r="D36" s="1">
        <f t="shared" si="1"/>
        <v>45778</v>
      </c>
      <c r="E36" t="s">
        <v>6</v>
      </c>
      <c r="F36" t="s">
        <v>65</v>
      </c>
      <c r="G36" t="s">
        <v>62</v>
      </c>
      <c r="H36" t="s">
        <v>57</v>
      </c>
      <c r="I36" t="s">
        <v>11</v>
      </c>
      <c r="J36" t="s">
        <v>107</v>
      </c>
      <c r="K36">
        <v>8</v>
      </c>
      <c r="L36" s="2">
        <v>52.71</v>
      </c>
      <c r="M36" s="3">
        <v>0</v>
      </c>
      <c r="N36" s="2">
        <v>421.68</v>
      </c>
      <c r="O36" s="2">
        <v>294.74</v>
      </c>
      <c r="P36" s="2">
        <v>126.94</v>
      </c>
      <c r="Q36" t="s">
        <v>53</v>
      </c>
    </row>
    <row r="37" spans="1:17">
      <c r="A37" t="s">
        <v>124</v>
      </c>
      <c r="B37" s="1">
        <v>45855</v>
      </c>
      <c r="C37" s="1" t="str">
        <f t="shared" si="0"/>
        <v>Jul 2025</v>
      </c>
      <c r="D37" s="1">
        <f t="shared" si="1"/>
        <v>45839</v>
      </c>
      <c r="E37" t="s">
        <v>4</v>
      </c>
      <c r="F37" t="s">
        <v>104</v>
      </c>
      <c r="G37" t="s">
        <v>56</v>
      </c>
      <c r="H37" t="s">
        <v>57</v>
      </c>
      <c r="I37" t="s">
        <v>10</v>
      </c>
      <c r="J37" t="s">
        <v>125</v>
      </c>
      <c r="K37">
        <v>2</v>
      </c>
      <c r="L37" s="2">
        <v>337.9</v>
      </c>
      <c r="M37" s="3">
        <v>0</v>
      </c>
      <c r="N37" s="2">
        <v>675.8</v>
      </c>
      <c r="O37" s="2">
        <v>456.82</v>
      </c>
      <c r="P37" s="2">
        <v>218.98</v>
      </c>
      <c r="Q37" t="s">
        <v>75</v>
      </c>
    </row>
    <row r="38" spans="1:17">
      <c r="A38" t="s">
        <v>126</v>
      </c>
      <c r="B38" s="1">
        <v>45693</v>
      </c>
      <c r="C38" s="1" t="str">
        <f t="shared" si="0"/>
        <v>Feb 2025</v>
      </c>
      <c r="D38" s="1">
        <f t="shared" si="1"/>
        <v>45689</v>
      </c>
      <c r="E38" t="s">
        <v>6</v>
      </c>
      <c r="F38" t="s">
        <v>65</v>
      </c>
      <c r="G38" t="s">
        <v>71</v>
      </c>
      <c r="H38" t="s">
        <v>66</v>
      </c>
      <c r="I38" t="s">
        <v>10</v>
      </c>
      <c r="J38" t="s">
        <v>80</v>
      </c>
      <c r="K38">
        <v>3</v>
      </c>
      <c r="L38" s="2">
        <v>156.88999999999999</v>
      </c>
      <c r="M38" s="3">
        <v>0</v>
      </c>
      <c r="N38" s="2">
        <v>470.67</v>
      </c>
      <c r="O38" s="2">
        <v>346.38</v>
      </c>
      <c r="P38" s="2">
        <v>124.29</v>
      </c>
      <c r="Q38" t="s">
        <v>75</v>
      </c>
    </row>
    <row r="39" spans="1:17">
      <c r="A39" t="s">
        <v>127</v>
      </c>
      <c r="B39" s="1">
        <v>45825</v>
      </c>
      <c r="C39" s="1" t="str">
        <f t="shared" si="0"/>
        <v>Jun 2025</v>
      </c>
      <c r="D39" s="1">
        <f t="shared" si="1"/>
        <v>45809</v>
      </c>
      <c r="E39" t="s">
        <v>5</v>
      </c>
      <c r="F39" t="s">
        <v>73</v>
      </c>
      <c r="G39" t="s">
        <v>71</v>
      </c>
      <c r="H39" t="s">
        <v>57</v>
      </c>
      <c r="I39" t="s">
        <v>12</v>
      </c>
      <c r="J39" t="s">
        <v>74</v>
      </c>
      <c r="K39">
        <v>3</v>
      </c>
      <c r="L39" s="2">
        <v>9.42</v>
      </c>
      <c r="M39" s="3">
        <v>0.1</v>
      </c>
      <c r="N39" s="2">
        <v>25.43</v>
      </c>
      <c r="O39" s="2">
        <v>20.440000000000001</v>
      </c>
      <c r="P39" s="2">
        <v>4.99</v>
      </c>
      <c r="Q39" t="s">
        <v>53</v>
      </c>
    </row>
    <row r="40" spans="1:17">
      <c r="A40" t="s">
        <v>128</v>
      </c>
      <c r="B40" s="1">
        <v>45813</v>
      </c>
      <c r="C40" s="1" t="str">
        <f t="shared" si="0"/>
        <v>Jun 2025</v>
      </c>
      <c r="D40" s="1">
        <f t="shared" si="1"/>
        <v>45809</v>
      </c>
      <c r="E40" t="s">
        <v>7</v>
      </c>
      <c r="F40" t="s">
        <v>117</v>
      </c>
      <c r="G40" t="s">
        <v>56</v>
      </c>
      <c r="H40" t="s">
        <v>66</v>
      </c>
      <c r="I40" t="s">
        <v>12</v>
      </c>
      <c r="J40" t="s">
        <v>112</v>
      </c>
      <c r="K40">
        <v>2</v>
      </c>
      <c r="L40" s="2">
        <v>8.2200000000000006</v>
      </c>
      <c r="M40" s="3">
        <v>0.05</v>
      </c>
      <c r="N40" s="2">
        <v>15.62</v>
      </c>
      <c r="O40" s="2">
        <v>10.84</v>
      </c>
      <c r="P40" s="2">
        <v>4.78</v>
      </c>
      <c r="Q40" t="s">
        <v>75</v>
      </c>
    </row>
    <row r="41" spans="1:17">
      <c r="A41" t="s">
        <v>129</v>
      </c>
      <c r="B41" s="1">
        <v>45744</v>
      </c>
      <c r="C41" s="1" t="str">
        <f t="shared" si="0"/>
        <v>Mar 2025</v>
      </c>
      <c r="D41" s="1">
        <f t="shared" si="1"/>
        <v>45717</v>
      </c>
      <c r="E41" t="s">
        <v>5</v>
      </c>
      <c r="F41" t="s">
        <v>73</v>
      </c>
      <c r="G41" t="s">
        <v>71</v>
      </c>
      <c r="H41" t="s">
        <v>51</v>
      </c>
      <c r="I41" t="s">
        <v>10</v>
      </c>
      <c r="J41" t="s">
        <v>130</v>
      </c>
      <c r="K41">
        <v>2</v>
      </c>
      <c r="L41" s="2">
        <v>188.29</v>
      </c>
      <c r="M41" s="3">
        <v>0.15</v>
      </c>
      <c r="N41" s="2">
        <v>320.08999999999997</v>
      </c>
      <c r="O41" s="2">
        <v>233.69</v>
      </c>
      <c r="P41" s="2">
        <v>86.4</v>
      </c>
      <c r="Q41" t="s">
        <v>68</v>
      </c>
    </row>
    <row r="42" spans="1:17">
      <c r="A42" t="s">
        <v>131</v>
      </c>
      <c r="B42" s="1">
        <v>45733</v>
      </c>
      <c r="C42" s="1" t="str">
        <f t="shared" si="0"/>
        <v>Mar 2025</v>
      </c>
      <c r="D42" s="1">
        <f t="shared" si="1"/>
        <v>45717</v>
      </c>
      <c r="E42" t="s">
        <v>4</v>
      </c>
      <c r="F42" t="s">
        <v>49</v>
      </c>
      <c r="G42" t="s">
        <v>50</v>
      </c>
      <c r="H42" t="s">
        <v>57</v>
      </c>
      <c r="I42" t="s">
        <v>11</v>
      </c>
      <c r="J42" t="s">
        <v>52</v>
      </c>
      <c r="K42">
        <v>1</v>
      </c>
      <c r="L42" s="2">
        <v>25.11</v>
      </c>
      <c r="M42" s="3">
        <v>0</v>
      </c>
      <c r="N42" s="2">
        <v>25.11</v>
      </c>
      <c r="O42" s="2">
        <v>16.489999999999998</v>
      </c>
      <c r="P42" s="2">
        <v>8.6199999999999992</v>
      </c>
      <c r="Q42" t="s">
        <v>75</v>
      </c>
    </row>
    <row r="43" spans="1:17">
      <c r="A43" t="s">
        <v>132</v>
      </c>
      <c r="B43" s="1">
        <v>45782</v>
      </c>
      <c r="C43" s="1" t="str">
        <f t="shared" si="0"/>
        <v>May 2025</v>
      </c>
      <c r="D43" s="1">
        <f t="shared" si="1"/>
        <v>45778</v>
      </c>
      <c r="E43" t="s">
        <v>5</v>
      </c>
      <c r="F43" t="s">
        <v>79</v>
      </c>
      <c r="G43" t="s">
        <v>91</v>
      </c>
      <c r="H43" t="s">
        <v>51</v>
      </c>
      <c r="I43" t="s">
        <v>11</v>
      </c>
      <c r="J43" t="s">
        <v>52</v>
      </c>
      <c r="K43">
        <v>6</v>
      </c>
      <c r="L43" s="2">
        <v>27.23</v>
      </c>
      <c r="M43" s="3">
        <v>0</v>
      </c>
      <c r="N43" s="2">
        <v>163.38</v>
      </c>
      <c r="O43" s="2">
        <v>123.11</v>
      </c>
      <c r="P43" s="2">
        <v>40.270000000000003</v>
      </c>
      <c r="Q43" t="s">
        <v>68</v>
      </c>
    </row>
    <row r="44" spans="1:17">
      <c r="A44" t="s">
        <v>133</v>
      </c>
      <c r="B44" s="1">
        <v>45720</v>
      </c>
      <c r="C44" s="1" t="str">
        <f t="shared" si="0"/>
        <v>Mar 2025</v>
      </c>
      <c r="D44" s="1">
        <f t="shared" si="1"/>
        <v>45717</v>
      </c>
      <c r="E44" t="s">
        <v>7</v>
      </c>
      <c r="F44" t="s">
        <v>117</v>
      </c>
      <c r="G44" t="s">
        <v>50</v>
      </c>
      <c r="H44" t="s">
        <v>66</v>
      </c>
      <c r="I44" t="s">
        <v>12</v>
      </c>
      <c r="J44" t="s">
        <v>112</v>
      </c>
      <c r="K44">
        <v>5</v>
      </c>
      <c r="L44" s="2">
        <v>8.3699999999999992</v>
      </c>
      <c r="M44" s="3">
        <v>0.15</v>
      </c>
      <c r="N44" s="2">
        <v>35.57</v>
      </c>
      <c r="O44" s="2">
        <v>29.24</v>
      </c>
      <c r="P44" s="2">
        <v>6.33</v>
      </c>
      <c r="Q44" t="s">
        <v>75</v>
      </c>
    </row>
    <row r="45" spans="1:17">
      <c r="A45" t="s">
        <v>134</v>
      </c>
      <c r="B45" s="1">
        <v>45739</v>
      </c>
      <c r="C45" s="1" t="str">
        <f t="shared" si="0"/>
        <v>Mar 2025</v>
      </c>
      <c r="D45" s="1">
        <f t="shared" si="1"/>
        <v>45717</v>
      </c>
      <c r="E45" t="s">
        <v>4</v>
      </c>
      <c r="F45" t="s">
        <v>55</v>
      </c>
      <c r="G45" t="s">
        <v>56</v>
      </c>
      <c r="H45" t="s">
        <v>57</v>
      </c>
      <c r="I45" t="s">
        <v>10</v>
      </c>
      <c r="J45" t="s">
        <v>67</v>
      </c>
      <c r="K45">
        <v>2</v>
      </c>
      <c r="L45" s="2">
        <v>223.73</v>
      </c>
      <c r="M45" s="3">
        <v>0.05</v>
      </c>
      <c r="N45" s="2">
        <v>425.09</v>
      </c>
      <c r="O45" s="2">
        <v>335.48</v>
      </c>
      <c r="P45" s="2">
        <v>89.61</v>
      </c>
      <c r="Q45" t="s">
        <v>75</v>
      </c>
    </row>
    <row r="46" spans="1:17">
      <c r="A46" t="s">
        <v>135</v>
      </c>
      <c r="B46" s="1">
        <v>45697</v>
      </c>
      <c r="C46" s="1" t="str">
        <f t="shared" si="0"/>
        <v>Feb 2025</v>
      </c>
      <c r="D46" s="1">
        <f t="shared" si="1"/>
        <v>45689</v>
      </c>
      <c r="E46" t="s">
        <v>5</v>
      </c>
      <c r="F46" t="s">
        <v>79</v>
      </c>
      <c r="G46" t="s">
        <v>50</v>
      </c>
      <c r="H46" t="s">
        <v>66</v>
      </c>
      <c r="I46" t="s">
        <v>10</v>
      </c>
      <c r="J46" t="s">
        <v>80</v>
      </c>
      <c r="K46">
        <v>1</v>
      </c>
      <c r="L46" s="2">
        <v>146.08000000000001</v>
      </c>
      <c r="M46" s="3">
        <v>0.15</v>
      </c>
      <c r="N46" s="2">
        <v>124.17</v>
      </c>
      <c r="O46" s="2">
        <v>79.489999999999995</v>
      </c>
      <c r="P46" s="2">
        <v>44.68</v>
      </c>
      <c r="Q46" t="s">
        <v>68</v>
      </c>
    </row>
    <row r="47" spans="1:17">
      <c r="A47" t="s">
        <v>136</v>
      </c>
      <c r="B47" s="1">
        <v>46019</v>
      </c>
      <c r="C47" s="1" t="str">
        <f t="shared" si="0"/>
        <v>Dec 2025</v>
      </c>
      <c r="D47" s="1">
        <f t="shared" si="1"/>
        <v>45992</v>
      </c>
      <c r="E47" t="s">
        <v>5</v>
      </c>
      <c r="F47" t="s">
        <v>97</v>
      </c>
      <c r="G47" t="s">
        <v>50</v>
      </c>
      <c r="H47" t="s">
        <v>66</v>
      </c>
      <c r="I47" t="s">
        <v>11</v>
      </c>
      <c r="J47" t="s">
        <v>52</v>
      </c>
      <c r="K47">
        <v>2</v>
      </c>
      <c r="L47" s="2">
        <v>24.32</v>
      </c>
      <c r="M47" s="3">
        <v>0.1</v>
      </c>
      <c r="N47" s="2">
        <v>43.78</v>
      </c>
      <c r="O47" s="2">
        <v>31.36</v>
      </c>
      <c r="P47" s="2">
        <v>12.42</v>
      </c>
      <c r="Q47" t="s">
        <v>53</v>
      </c>
    </row>
    <row r="48" spans="1:17">
      <c r="A48" t="s">
        <v>137</v>
      </c>
      <c r="B48" s="1">
        <v>45952</v>
      </c>
      <c r="C48" s="1" t="str">
        <f t="shared" si="0"/>
        <v>Oct 2025</v>
      </c>
      <c r="D48" s="1">
        <f t="shared" si="1"/>
        <v>45931</v>
      </c>
      <c r="E48" t="s">
        <v>7</v>
      </c>
      <c r="F48" t="s">
        <v>117</v>
      </c>
      <c r="G48" t="s">
        <v>56</v>
      </c>
      <c r="H48" t="s">
        <v>57</v>
      </c>
      <c r="I48" t="s">
        <v>12</v>
      </c>
      <c r="J48" t="s">
        <v>138</v>
      </c>
      <c r="K48">
        <v>1</v>
      </c>
      <c r="L48" s="2">
        <v>27.37</v>
      </c>
      <c r="M48" s="3">
        <v>0.1</v>
      </c>
      <c r="N48" s="2">
        <v>24.63</v>
      </c>
      <c r="O48" s="2">
        <v>21.24</v>
      </c>
      <c r="P48" s="2">
        <v>3.39</v>
      </c>
      <c r="Q48" t="s">
        <v>68</v>
      </c>
    </row>
    <row r="49" spans="1:17">
      <c r="A49" t="s">
        <v>139</v>
      </c>
      <c r="B49" s="1">
        <v>45797</v>
      </c>
      <c r="C49" s="1" t="str">
        <f t="shared" si="0"/>
        <v>May 2025</v>
      </c>
      <c r="D49" s="1">
        <f t="shared" si="1"/>
        <v>45778</v>
      </c>
      <c r="E49" t="s">
        <v>7</v>
      </c>
      <c r="F49" t="s">
        <v>61</v>
      </c>
      <c r="G49" t="s">
        <v>94</v>
      </c>
      <c r="H49" t="s">
        <v>57</v>
      </c>
      <c r="I49" t="s">
        <v>12</v>
      </c>
      <c r="J49" t="s">
        <v>138</v>
      </c>
      <c r="K49">
        <v>1</v>
      </c>
      <c r="L49" s="2">
        <v>27.27</v>
      </c>
      <c r="M49" s="3">
        <v>0.1</v>
      </c>
      <c r="N49" s="2">
        <v>24.54</v>
      </c>
      <c r="O49" s="2">
        <v>20.100000000000001</v>
      </c>
      <c r="P49" s="2">
        <v>4.4400000000000004</v>
      </c>
      <c r="Q49" t="s">
        <v>53</v>
      </c>
    </row>
    <row r="50" spans="1:17">
      <c r="A50" t="s">
        <v>140</v>
      </c>
      <c r="B50" s="1">
        <v>45700</v>
      </c>
      <c r="C50" s="1" t="str">
        <f t="shared" si="0"/>
        <v>Feb 2025</v>
      </c>
      <c r="D50" s="1">
        <f t="shared" si="1"/>
        <v>45689</v>
      </c>
      <c r="E50" t="s">
        <v>6</v>
      </c>
      <c r="F50" t="s">
        <v>109</v>
      </c>
      <c r="G50" t="s">
        <v>91</v>
      </c>
      <c r="H50" t="s">
        <v>57</v>
      </c>
      <c r="I50" t="s">
        <v>10</v>
      </c>
      <c r="J50" t="s">
        <v>67</v>
      </c>
      <c r="K50">
        <v>1</v>
      </c>
      <c r="L50" s="2">
        <v>210.33</v>
      </c>
      <c r="M50" s="3">
        <v>0</v>
      </c>
      <c r="N50" s="2">
        <v>210.33</v>
      </c>
      <c r="O50" s="2">
        <v>125.79</v>
      </c>
      <c r="P50" s="2">
        <v>84.54</v>
      </c>
      <c r="Q50" t="s">
        <v>59</v>
      </c>
    </row>
    <row r="51" spans="1:17">
      <c r="A51" t="s">
        <v>141</v>
      </c>
      <c r="B51" s="1">
        <v>45852</v>
      </c>
      <c r="C51" s="1" t="str">
        <f t="shared" si="0"/>
        <v>Jul 2025</v>
      </c>
      <c r="D51" s="1">
        <f t="shared" si="1"/>
        <v>45839</v>
      </c>
      <c r="E51" t="s">
        <v>8</v>
      </c>
      <c r="F51" t="s">
        <v>70</v>
      </c>
      <c r="G51" t="s">
        <v>56</v>
      </c>
      <c r="H51" t="s">
        <v>66</v>
      </c>
      <c r="I51" t="s">
        <v>12</v>
      </c>
      <c r="J51" t="s">
        <v>138</v>
      </c>
      <c r="K51">
        <v>2</v>
      </c>
      <c r="L51" s="2">
        <v>25.7</v>
      </c>
      <c r="M51" s="3">
        <v>0</v>
      </c>
      <c r="N51" s="2">
        <v>51.4</v>
      </c>
      <c r="O51" s="2">
        <v>38.28</v>
      </c>
      <c r="P51" s="2">
        <v>13.12</v>
      </c>
      <c r="Q51" t="s">
        <v>53</v>
      </c>
    </row>
    <row r="52" spans="1:17">
      <c r="A52" t="s">
        <v>142</v>
      </c>
      <c r="B52" s="1">
        <v>45991</v>
      </c>
      <c r="C52" s="1" t="str">
        <f t="shared" si="0"/>
        <v>Nov 2025</v>
      </c>
      <c r="D52" s="1">
        <f t="shared" si="1"/>
        <v>45962</v>
      </c>
      <c r="E52" t="s">
        <v>5</v>
      </c>
      <c r="F52" t="s">
        <v>79</v>
      </c>
      <c r="G52" t="s">
        <v>91</v>
      </c>
      <c r="H52" t="s">
        <v>66</v>
      </c>
      <c r="I52" t="s">
        <v>11</v>
      </c>
      <c r="J52" t="s">
        <v>52</v>
      </c>
      <c r="K52">
        <v>8</v>
      </c>
      <c r="L52" s="2">
        <v>23.6</v>
      </c>
      <c r="M52" s="3">
        <v>0</v>
      </c>
      <c r="N52" s="2">
        <v>188.8</v>
      </c>
      <c r="O52" s="2">
        <v>133.37</v>
      </c>
      <c r="P52" s="2">
        <v>55.43</v>
      </c>
      <c r="Q52" t="s">
        <v>53</v>
      </c>
    </row>
    <row r="53" spans="1:17">
      <c r="A53" t="s">
        <v>143</v>
      </c>
      <c r="B53" s="1">
        <v>45946</v>
      </c>
      <c r="C53" s="1" t="str">
        <f t="shared" si="0"/>
        <v>Oct 2025</v>
      </c>
      <c r="D53" s="1">
        <f t="shared" si="1"/>
        <v>45931</v>
      </c>
      <c r="E53" t="s">
        <v>8</v>
      </c>
      <c r="F53" t="s">
        <v>82</v>
      </c>
      <c r="G53" t="s">
        <v>71</v>
      </c>
      <c r="H53" t="s">
        <v>51</v>
      </c>
      <c r="I53" t="s">
        <v>11</v>
      </c>
      <c r="J53" t="s">
        <v>63</v>
      </c>
      <c r="K53">
        <v>4</v>
      </c>
      <c r="L53" s="2">
        <v>85.5</v>
      </c>
      <c r="M53" s="3">
        <v>0</v>
      </c>
      <c r="N53" s="2">
        <v>342</v>
      </c>
      <c r="O53" s="2">
        <v>240</v>
      </c>
      <c r="P53" s="2">
        <v>102</v>
      </c>
      <c r="Q53" t="s">
        <v>53</v>
      </c>
    </row>
    <row r="54" spans="1:17">
      <c r="A54" t="s">
        <v>144</v>
      </c>
      <c r="B54" s="1">
        <v>45817</v>
      </c>
      <c r="C54" s="1" t="str">
        <f t="shared" si="0"/>
        <v>Jun 2025</v>
      </c>
      <c r="D54" s="1">
        <f t="shared" si="1"/>
        <v>45809</v>
      </c>
      <c r="E54" t="s">
        <v>5</v>
      </c>
      <c r="F54" t="s">
        <v>79</v>
      </c>
      <c r="G54" t="s">
        <v>71</v>
      </c>
      <c r="H54" t="s">
        <v>66</v>
      </c>
      <c r="I54" t="s">
        <v>10</v>
      </c>
      <c r="J54" t="s">
        <v>67</v>
      </c>
      <c r="K54">
        <v>2</v>
      </c>
      <c r="L54" s="2">
        <v>222.03</v>
      </c>
      <c r="M54" s="3">
        <v>0</v>
      </c>
      <c r="N54" s="2">
        <v>444.06</v>
      </c>
      <c r="O54" s="2">
        <v>309.79000000000002</v>
      </c>
      <c r="P54" s="2">
        <v>134.27000000000001</v>
      </c>
      <c r="Q54" t="s">
        <v>53</v>
      </c>
    </row>
    <row r="55" spans="1:17">
      <c r="A55" t="s">
        <v>145</v>
      </c>
      <c r="B55" s="1">
        <v>45947</v>
      </c>
      <c r="C55" s="1" t="str">
        <f t="shared" si="0"/>
        <v>Oct 2025</v>
      </c>
      <c r="D55" s="1">
        <f t="shared" si="1"/>
        <v>45931</v>
      </c>
      <c r="E55" t="s">
        <v>6</v>
      </c>
      <c r="F55" t="s">
        <v>109</v>
      </c>
      <c r="G55" t="s">
        <v>50</v>
      </c>
      <c r="H55" t="s">
        <v>57</v>
      </c>
      <c r="I55" t="s">
        <v>11</v>
      </c>
      <c r="J55" t="s">
        <v>115</v>
      </c>
      <c r="K55">
        <v>3</v>
      </c>
      <c r="L55" s="2">
        <v>230.02</v>
      </c>
      <c r="M55" s="3">
        <v>0</v>
      </c>
      <c r="N55" s="2">
        <v>690.06</v>
      </c>
      <c r="O55" s="2">
        <v>463.57</v>
      </c>
      <c r="P55" s="2">
        <v>226.49</v>
      </c>
      <c r="Q55" t="s">
        <v>53</v>
      </c>
    </row>
    <row r="56" spans="1:17">
      <c r="A56" t="s">
        <v>146</v>
      </c>
      <c r="B56" s="1">
        <v>45879</v>
      </c>
      <c r="C56" s="1" t="str">
        <f t="shared" si="0"/>
        <v>Aug 2025</v>
      </c>
      <c r="D56" s="1">
        <f t="shared" si="1"/>
        <v>45870</v>
      </c>
      <c r="E56" t="s">
        <v>6</v>
      </c>
      <c r="F56" t="s">
        <v>65</v>
      </c>
      <c r="G56" t="s">
        <v>91</v>
      </c>
      <c r="H56" t="s">
        <v>57</v>
      </c>
      <c r="I56" t="s">
        <v>12</v>
      </c>
      <c r="J56" t="s">
        <v>138</v>
      </c>
      <c r="K56">
        <v>4</v>
      </c>
      <c r="L56" s="2">
        <v>27.88</v>
      </c>
      <c r="M56" s="3">
        <v>0.15</v>
      </c>
      <c r="N56" s="2">
        <v>94.79</v>
      </c>
      <c r="O56" s="2">
        <v>90.29</v>
      </c>
      <c r="P56" s="2">
        <v>4.5</v>
      </c>
      <c r="Q56" t="s">
        <v>75</v>
      </c>
    </row>
    <row r="57" spans="1:17">
      <c r="A57" t="s">
        <v>147</v>
      </c>
      <c r="B57" s="1">
        <v>45961</v>
      </c>
      <c r="C57" s="1" t="str">
        <f t="shared" si="0"/>
        <v>Oct 2025</v>
      </c>
      <c r="D57" s="1">
        <f t="shared" si="1"/>
        <v>45931</v>
      </c>
      <c r="E57" t="s">
        <v>7</v>
      </c>
      <c r="F57" t="s">
        <v>61</v>
      </c>
      <c r="G57" t="s">
        <v>91</v>
      </c>
      <c r="H57" t="s">
        <v>66</v>
      </c>
      <c r="I57" t="s">
        <v>12</v>
      </c>
      <c r="J57" t="s">
        <v>74</v>
      </c>
      <c r="K57">
        <v>5</v>
      </c>
      <c r="L57" s="2">
        <v>10.83</v>
      </c>
      <c r="M57" s="3">
        <v>0</v>
      </c>
      <c r="N57" s="2">
        <v>54.15</v>
      </c>
      <c r="O57" s="2">
        <v>32.69</v>
      </c>
      <c r="P57" s="2">
        <v>21.46</v>
      </c>
      <c r="Q57" t="s">
        <v>75</v>
      </c>
    </row>
    <row r="58" spans="1:17">
      <c r="A58" t="s">
        <v>148</v>
      </c>
      <c r="B58" s="1">
        <v>45830</v>
      </c>
      <c r="C58" s="1" t="str">
        <f t="shared" si="0"/>
        <v>Jun 2025</v>
      </c>
      <c r="D58" s="1">
        <f t="shared" si="1"/>
        <v>45809</v>
      </c>
      <c r="E58" t="s">
        <v>6</v>
      </c>
      <c r="F58" t="s">
        <v>149</v>
      </c>
      <c r="G58" t="s">
        <v>71</v>
      </c>
      <c r="H58" t="s">
        <v>66</v>
      </c>
      <c r="I58" t="s">
        <v>11</v>
      </c>
      <c r="J58" t="s">
        <v>63</v>
      </c>
      <c r="K58">
        <v>5</v>
      </c>
      <c r="L58" s="2">
        <v>75.2</v>
      </c>
      <c r="M58" s="3">
        <v>0</v>
      </c>
      <c r="N58" s="2">
        <v>376</v>
      </c>
      <c r="O58" s="2">
        <v>235.54</v>
      </c>
      <c r="P58" s="2">
        <v>140.46</v>
      </c>
      <c r="Q58" t="s">
        <v>59</v>
      </c>
    </row>
    <row r="59" spans="1:17">
      <c r="A59" t="s">
        <v>150</v>
      </c>
      <c r="B59" s="1">
        <v>45942</v>
      </c>
      <c r="C59" s="1" t="str">
        <f t="shared" si="0"/>
        <v>Oct 2025</v>
      </c>
      <c r="D59" s="1">
        <f t="shared" si="1"/>
        <v>45931</v>
      </c>
      <c r="E59" t="s">
        <v>5</v>
      </c>
      <c r="F59" t="s">
        <v>73</v>
      </c>
      <c r="G59" t="s">
        <v>91</v>
      </c>
      <c r="H59" t="s">
        <v>66</v>
      </c>
      <c r="I59" t="s">
        <v>11</v>
      </c>
      <c r="J59" t="s">
        <v>107</v>
      </c>
      <c r="K59">
        <v>8</v>
      </c>
      <c r="L59" s="2">
        <v>50.54</v>
      </c>
      <c r="M59" s="3">
        <v>0.1</v>
      </c>
      <c r="N59" s="2">
        <v>363.89</v>
      </c>
      <c r="O59" s="2">
        <v>269.51</v>
      </c>
      <c r="P59" s="2">
        <v>94.38</v>
      </c>
      <c r="Q59" t="s">
        <v>75</v>
      </c>
    </row>
    <row r="60" spans="1:17">
      <c r="A60" t="s">
        <v>151</v>
      </c>
      <c r="B60" s="1">
        <v>45887</v>
      </c>
      <c r="C60" s="1" t="str">
        <f t="shared" si="0"/>
        <v>Aug 2025</v>
      </c>
      <c r="D60" s="1">
        <f t="shared" si="1"/>
        <v>45870</v>
      </c>
      <c r="E60" t="s">
        <v>4</v>
      </c>
      <c r="F60" t="s">
        <v>55</v>
      </c>
      <c r="G60" t="s">
        <v>91</v>
      </c>
      <c r="H60" t="s">
        <v>66</v>
      </c>
      <c r="I60" t="s">
        <v>11</v>
      </c>
      <c r="J60" t="s">
        <v>52</v>
      </c>
      <c r="K60">
        <v>2</v>
      </c>
      <c r="L60" s="2">
        <v>24.72</v>
      </c>
      <c r="M60" s="3">
        <v>0</v>
      </c>
      <c r="N60" s="2">
        <v>49.44</v>
      </c>
      <c r="O60" s="2">
        <v>30.25</v>
      </c>
      <c r="P60" s="2">
        <v>19.190000000000001</v>
      </c>
      <c r="Q60" t="s">
        <v>59</v>
      </c>
    </row>
    <row r="61" spans="1:17">
      <c r="A61" t="s">
        <v>152</v>
      </c>
      <c r="B61" s="1">
        <v>45875</v>
      </c>
      <c r="C61" s="1" t="str">
        <f t="shared" si="0"/>
        <v>Aug 2025</v>
      </c>
      <c r="D61" s="1">
        <f t="shared" si="1"/>
        <v>45870</v>
      </c>
      <c r="E61" t="s">
        <v>5</v>
      </c>
      <c r="F61" t="s">
        <v>79</v>
      </c>
      <c r="G61" t="s">
        <v>56</v>
      </c>
      <c r="H61" t="s">
        <v>57</v>
      </c>
      <c r="I61" t="s">
        <v>10</v>
      </c>
      <c r="J61" t="s">
        <v>102</v>
      </c>
      <c r="K61">
        <v>2</v>
      </c>
      <c r="L61" s="2">
        <v>42.19</v>
      </c>
      <c r="M61" s="3">
        <v>0.05</v>
      </c>
      <c r="N61" s="2">
        <v>80.16</v>
      </c>
      <c r="O61" s="2">
        <v>51.64</v>
      </c>
      <c r="P61" s="2">
        <v>28.52</v>
      </c>
      <c r="Q61" t="s">
        <v>53</v>
      </c>
    </row>
    <row r="62" spans="1:17">
      <c r="A62" t="s">
        <v>153</v>
      </c>
      <c r="B62" s="1">
        <v>45932</v>
      </c>
      <c r="C62" s="1" t="str">
        <f t="shared" si="0"/>
        <v>Oct 2025</v>
      </c>
      <c r="D62" s="1">
        <f t="shared" si="1"/>
        <v>45931</v>
      </c>
      <c r="E62" t="s">
        <v>4</v>
      </c>
      <c r="F62" t="s">
        <v>104</v>
      </c>
      <c r="G62" t="s">
        <v>71</v>
      </c>
      <c r="H62" t="s">
        <v>51</v>
      </c>
      <c r="I62" t="s">
        <v>10</v>
      </c>
      <c r="J62" t="s">
        <v>125</v>
      </c>
      <c r="K62">
        <v>1</v>
      </c>
      <c r="L62" s="2">
        <v>340</v>
      </c>
      <c r="M62" s="3">
        <v>0.05</v>
      </c>
      <c r="N62" s="2">
        <v>323</v>
      </c>
      <c r="O62" s="2">
        <v>250.71</v>
      </c>
      <c r="P62" s="2">
        <v>72.290000000000006</v>
      </c>
      <c r="Q62" t="s">
        <v>68</v>
      </c>
    </row>
    <row r="63" spans="1:17">
      <c r="A63" t="s">
        <v>154</v>
      </c>
      <c r="B63" s="1">
        <v>45809</v>
      </c>
      <c r="C63" s="1" t="str">
        <f t="shared" si="0"/>
        <v>Jun 2025</v>
      </c>
      <c r="D63" s="1">
        <f t="shared" si="1"/>
        <v>45809</v>
      </c>
      <c r="E63" t="s">
        <v>8</v>
      </c>
      <c r="F63" t="s">
        <v>82</v>
      </c>
      <c r="G63" t="s">
        <v>71</v>
      </c>
      <c r="H63" t="s">
        <v>66</v>
      </c>
      <c r="I63" t="s">
        <v>11</v>
      </c>
      <c r="J63" t="s">
        <v>115</v>
      </c>
      <c r="K63">
        <v>1</v>
      </c>
      <c r="L63" s="2">
        <v>198.68</v>
      </c>
      <c r="M63" s="3">
        <v>0.15</v>
      </c>
      <c r="N63" s="2">
        <v>168.88</v>
      </c>
      <c r="O63" s="2">
        <v>110.86</v>
      </c>
      <c r="P63" s="2">
        <v>58.02</v>
      </c>
      <c r="Q63" t="s">
        <v>68</v>
      </c>
    </row>
    <row r="64" spans="1:17">
      <c r="A64" t="s">
        <v>155</v>
      </c>
      <c r="B64" s="1">
        <v>45984</v>
      </c>
      <c r="C64" s="1" t="str">
        <f t="shared" si="0"/>
        <v>Nov 2025</v>
      </c>
      <c r="D64" s="1">
        <f t="shared" si="1"/>
        <v>45962</v>
      </c>
      <c r="E64" t="s">
        <v>6</v>
      </c>
      <c r="F64" t="s">
        <v>109</v>
      </c>
      <c r="G64" t="s">
        <v>94</v>
      </c>
      <c r="H64" t="s">
        <v>57</v>
      </c>
      <c r="I64" t="s">
        <v>12</v>
      </c>
      <c r="J64" t="s">
        <v>87</v>
      </c>
      <c r="K64">
        <v>5</v>
      </c>
      <c r="L64" s="2">
        <v>12.32</v>
      </c>
      <c r="M64" s="3">
        <v>0.1</v>
      </c>
      <c r="N64" s="2">
        <v>55.44</v>
      </c>
      <c r="O64" s="2">
        <v>40.880000000000003</v>
      </c>
      <c r="P64" s="2">
        <v>14.56</v>
      </c>
      <c r="Q64" t="s">
        <v>75</v>
      </c>
    </row>
    <row r="65" spans="1:17">
      <c r="A65" t="s">
        <v>156</v>
      </c>
      <c r="B65" s="1">
        <v>45716</v>
      </c>
      <c r="C65" s="1" t="str">
        <f t="shared" si="0"/>
        <v>Feb 2025</v>
      </c>
      <c r="D65" s="1">
        <f t="shared" si="1"/>
        <v>45689</v>
      </c>
      <c r="E65" t="s">
        <v>4</v>
      </c>
      <c r="F65" t="s">
        <v>55</v>
      </c>
      <c r="G65" t="s">
        <v>85</v>
      </c>
      <c r="H65" t="s">
        <v>51</v>
      </c>
      <c r="I65" t="s">
        <v>11</v>
      </c>
      <c r="J65" t="s">
        <v>63</v>
      </c>
      <c r="K65">
        <v>3</v>
      </c>
      <c r="L65" s="2">
        <v>82.16</v>
      </c>
      <c r="M65" s="3">
        <v>0</v>
      </c>
      <c r="N65" s="2">
        <v>246.48</v>
      </c>
      <c r="O65" s="2">
        <v>139.38999999999999</v>
      </c>
      <c r="P65" s="2">
        <v>107.09</v>
      </c>
      <c r="Q65" t="s">
        <v>53</v>
      </c>
    </row>
    <row r="66" spans="1:17">
      <c r="A66" t="s">
        <v>157</v>
      </c>
      <c r="B66" s="1">
        <v>45943</v>
      </c>
      <c r="C66" s="1" t="str">
        <f t="shared" ref="C66:C129" si="2">TEXT(D66,"mmm yyyy")</f>
        <v>Oct 2025</v>
      </c>
      <c r="D66" s="1">
        <f t="shared" ref="D66:D129" si="3">DATE(YEAR(B66),MONTH(B66),1)</f>
        <v>45931</v>
      </c>
      <c r="E66" t="s">
        <v>7</v>
      </c>
      <c r="F66" t="s">
        <v>101</v>
      </c>
      <c r="G66" t="s">
        <v>50</v>
      </c>
      <c r="H66" t="s">
        <v>57</v>
      </c>
      <c r="I66" t="s">
        <v>12</v>
      </c>
      <c r="J66" t="s">
        <v>77</v>
      </c>
      <c r="K66">
        <v>3</v>
      </c>
      <c r="L66" s="2">
        <v>15.54</v>
      </c>
      <c r="M66" s="3">
        <v>0.15</v>
      </c>
      <c r="N66" s="2">
        <v>39.630000000000003</v>
      </c>
      <c r="O66" s="2">
        <v>29.56</v>
      </c>
      <c r="P66" s="2">
        <v>10.07</v>
      </c>
      <c r="Q66" t="s">
        <v>53</v>
      </c>
    </row>
    <row r="67" spans="1:17">
      <c r="A67" t="s">
        <v>158</v>
      </c>
      <c r="B67" s="1">
        <v>45970</v>
      </c>
      <c r="C67" s="1" t="str">
        <f t="shared" si="2"/>
        <v>Nov 2025</v>
      </c>
      <c r="D67" s="1">
        <f t="shared" si="3"/>
        <v>45962</v>
      </c>
      <c r="E67" t="s">
        <v>8</v>
      </c>
      <c r="F67" t="s">
        <v>82</v>
      </c>
      <c r="G67" t="s">
        <v>56</v>
      </c>
      <c r="H67" t="s">
        <v>51</v>
      </c>
      <c r="I67" t="s">
        <v>10</v>
      </c>
      <c r="J67" t="s">
        <v>130</v>
      </c>
      <c r="K67">
        <v>8</v>
      </c>
      <c r="L67" s="2">
        <v>170.23</v>
      </c>
      <c r="M67" s="3">
        <v>0</v>
      </c>
      <c r="N67" s="2">
        <v>1361.84</v>
      </c>
      <c r="O67" s="2">
        <v>816.28</v>
      </c>
      <c r="P67" s="2">
        <v>545.55999999999995</v>
      </c>
      <c r="Q67" t="s">
        <v>53</v>
      </c>
    </row>
    <row r="68" spans="1:17">
      <c r="A68" t="s">
        <v>159</v>
      </c>
      <c r="B68" s="1">
        <v>45738</v>
      </c>
      <c r="C68" s="1" t="str">
        <f t="shared" si="2"/>
        <v>Mar 2025</v>
      </c>
      <c r="D68" s="1">
        <f t="shared" si="3"/>
        <v>45717</v>
      </c>
      <c r="E68" t="s">
        <v>6</v>
      </c>
      <c r="F68" t="s">
        <v>65</v>
      </c>
      <c r="G68" t="s">
        <v>71</v>
      </c>
      <c r="H68" t="s">
        <v>66</v>
      </c>
      <c r="I68" t="s">
        <v>11</v>
      </c>
      <c r="J68" t="s">
        <v>63</v>
      </c>
      <c r="K68">
        <v>2</v>
      </c>
      <c r="L68" s="2">
        <v>82.45</v>
      </c>
      <c r="M68" s="3">
        <v>0.05</v>
      </c>
      <c r="N68" s="2">
        <v>156.66</v>
      </c>
      <c r="O68" s="2">
        <v>87.36</v>
      </c>
      <c r="P68" s="2">
        <v>69.3</v>
      </c>
      <c r="Q68" t="s">
        <v>75</v>
      </c>
    </row>
    <row r="69" spans="1:17">
      <c r="A69" t="s">
        <v>160</v>
      </c>
      <c r="B69" s="1">
        <v>45694</v>
      </c>
      <c r="C69" s="1" t="str">
        <f t="shared" si="2"/>
        <v>Feb 2025</v>
      </c>
      <c r="D69" s="1">
        <f t="shared" si="3"/>
        <v>45689</v>
      </c>
      <c r="E69" t="s">
        <v>5</v>
      </c>
      <c r="F69" t="s">
        <v>97</v>
      </c>
      <c r="G69" t="s">
        <v>85</v>
      </c>
      <c r="H69" t="s">
        <v>66</v>
      </c>
      <c r="I69" t="s">
        <v>10</v>
      </c>
      <c r="J69" t="s">
        <v>125</v>
      </c>
      <c r="K69">
        <v>6</v>
      </c>
      <c r="L69" s="2">
        <v>343.46</v>
      </c>
      <c r="M69" s="3">
        <v>0.15</v>
      </c>
      <c r="N69" s="2">
        <v>1751.65</v>
      </c>
      <c r="O69" s="2">
        <v>1480.36</v>
      </c>
      <c r="P69" s="2">
        <v>271.29000000000002</v>
      </c>
      <c r="Q69" t="s">
        <v>68</v>
      </c>
    </row>
    <row r="70" spans="1:17">
      <c r="A70" t="s">
        <v>161</v>
      </c>
      <c r="B70" s="1">
        <v>45989</v>
      </c>
      <c r="C70" s="1" t="str">
        <f t="shared" si="2"/>
        <v>Nov 2025</v>
      </c>
      <c r="D70" s="1">
        <f t="shared" si="3"/>
        <v>45962</v>
      </c>
      <c r="E70" t="s">
        <v>4</v>
      </c>
      <c r="F70" t="s">
        <v>104</v>
      </c>
      <c r="G70" t="s">
        <v>71</v>
      </c>
      <c r="H70" t="s">
        <v>57</v>
      </c>
      <c r="I70" t="s">
        <v>11</v>
      </c>
      <c r="J70" t="s">
        <v>115</v>
      </c>
      <c r="K70">
        <v>5</v>
      </c>
      <c r="L70" s="2">
        <v>201.46</v>
      </c>
      <c r="M70" s="3">
        <v>0</v>
      </c>
      <c r="N70" s="2">
        <v>1007.3</v>
      </c>
      <c r="O70" s="2">
        <v>763.32</v>
      </c>
      <c r="P70" s="2">
        <v>243.98</v>
      </c>
      <c r="Q70" t="s">
        <v>53</v>
      </c>
    </row>
    <row r="71" spans="1:17">
      <c r="A71" t="s">
        <v>162</v>
      </c>
      <c r="B71" s="1">
        <v>45897</v>
      </c>
      <c r="C71" s="1" t="str">
        <f t="shared" si="2"/>
        <v>Aug 2025</v>
      </c>
      <c r="D71" s="1">
        <f t="shared" si="3"/>
        <v>45870</v>
      </c>
      <c r="E71" t="s">
        <v>7</v>
      </c>
      <c r="F71" t="s">
        <v>61</v>
      </c>
      <c r="G71" t="s">
        <v>94</v>
      </c>
      <c r="H71" t="s">
        <v>57</v>
      </c>
      <c r="I71" t="s">
        <v>10</v>
      </c>
      <c r="J71" t="s">
        <v>80</v>
      </c>
      <c r="K71">
        <v>4</v>
      </c>
      <c r="L71" s="2">
        <v>166.11</v>
      </c>
      <c r="M71" s="3">
        <v>0.15</v>
      </c>
      <c r="N71" s="2">
        <v>564.77</v>
      </c>
      <c r="O71" s="2">
        <v>453.14</v>
      </c>
      <c r="P71" s="2">
        <v>111.63</v>
      </c>
      <c r="Q71" t="s">
        <v>59</v>
      </c>
    </row>
    <row r="72" spans="1:17">
      <c r="A72" t="s">
        <v>163</v>
      </c>
      <c r="B72" s="1">
        <v>45967</v>
      </c>
      <c r="C72" s="1" t="str">
        <f t="shared" si="2"/>
        <v>Nov 2025</v>
      </c>
      <c r="D72" s="1">
        <f t="shared" si="3"/>
        <v>45962</v>
      </c>
      <c r="E72" t="s">
        <v>8</v>
      </c>
      <c r="F72" t="s">
        <v>90</v>
      </c>
      <c r="G72" t="s">
        <v>71</v>
      </c>
      <c r="H72" t="s">
        <v>66</v>
      </c>
      <c r="I72" t="s">
        <v>12</v>
      </c>
      <c r="J72" t="s">
        <v>87</v>
      </c>
      <c r="K72">
        <v>1</v>
      </c>
      <c r="L72" s="2">
        <v>13.34</v>
      </c>
      <c r="M72" s="3">
        <v>0.15</v>
      </c>
      <c r="N72" s="2">
        <v>11.34</v>
      </c>
      <c r="O72" s="2">
        <v>9.2899999999999991</v>
      </c>
      <c r="P72" s="2">
        <v>2.0499999999999998</v>
      </c>
      <c r="Q72" t="s">
        <v>53</v>
      </c>
    </row>
    <row r="73" spans="1:17">
      <c r="A73" t="s">
        <v>164</v>
      </c>
      <c r="B73" s="1">
        <v>45747</v>
      </c>
      <c r="C73" s="1" t="str">
        <f t="shared" si="2"/>
        <v>Mar 2025</v>
      </c>
      <c r="D73" s="1">
        <f t="shared" si="3"/>
        <v>45717</v>
      </c>
      <c r="E73" t="s">
        <v>7</v>
      </c>
      <c r="F73" t="s">
        <v>117</v>
      </c>
      <c r="G73" t="s">
        <v>91</v>
      </c>
      <c r="H73" t="s">
        <v>51</v>
      </c>
      <c r="I73" t="s">
        <v>12</v>
      </c>
      <c r="J73" t="s">
        <v>77</v>
      </c>
      <c r="K73">
        <v>3</v>
      </c>
      <c r="L73" s="2">
        <v>16.52</v>
      </c>
      <c r="M73" s="3">
        <v>0</v>
      </c>
      <c r="N73" s="2">
        <v>49.56</v>
      </c>
      <c r="O73" s="2">
        <v>40.590000000000003</v>
      </c>
      <c r="P73" s="2">
        <v>8.9700000000000006</v>
      </c>
      <c r="Q73" t="s">
        <v>75</v>
      </c>
    </row>
    <row r="74" spans="1:17">
      <c r="A74" t="s">
        <v>165</v>
      </c>
      <c r="B74" s="1">
        <v>45836</v>
      </c>
      <c r="C74" s="1" t="str">
        <f t="shared" si="2"/>
        <v>Jun 2025</v>
      </c>
      <c r="D74" s="1">
        <f t="shared" si="3"/>
        <v>45809</v>
      </c>
      <c r="E74" t="s">
        <v>7</v>
      </c>
      <c r="F74" t="s">
        <v>101</v>
      </c>
      <c r="G74" t="s">
        <v>50</v>
      </c>
      <c r="H74" t="s">
        <v>66</v>
      </c>
      <c r="I74" t="s">
        <v>12</v>
      </c>
      <c r="J74" t="s">
        <v>74</v>
      </c>
      <c r="K74">
        <v>2</v>
      </c>
      <c r="L74" s="2">
        <v>9.23</v>
      </c>
      <c r="M74" s="3">
        <v>0</v>
      </c>
      <c r="N74" s="2">
        <v>18.46</v>
      </c>
      <c r="O74" s="2">
        <v>11.43</v>
      </c>
      <c r="P74" s="2">
        <v>7.03</v>
      </c>
      <c r="Q74" t="s">
        <v>53</v>
      </c>
    </row>
    <row r="75" spans="1:17">
      <c r="A75" t="s">
        <v>166</v>
      </c>
      <c r="B75" s="1">
        <v>45890</v>
      </c>
      <c r="C75" s="1" t="str">
        <f t="shared" si="2"/>
        <v>Aug 2025</v>
      </c>
      <c r="D75" s="1">
        <f t="shared" si="3"/>
        <v>45870</v>
      </c>
      <c r="E75" t="s">
        <v>8</v>
      </c>
      <c r="F75" t="s">
        <v>90</v>
      </c>
      <c r="G75" t="s">
        <v>91</v>
      </c>
      <c r="H75" t="s">
        <v>57</v>
      </c>
      <c r="I75" t="s">
        <v>11</v>
      </c>
      <c r="J75" t="s">
        <v>115</v>
      </c>
      <c r="K75">
        <v>2</v>
      </c>
      <c r="L75" s="2">
        <v>203.61</v>
      </c>
      <c r="M75" s="3">
        <v>0.1</v>
      </c>
      <c r="N75" s="2">
        <v>366.5</v>
      </c>
      <c r="O75" s="2">
        <v>317.42</v>
      </c>
      <c r="P75" s="2">
        <v>49.08</v>
      </c>
      <c r="Q75" t="s">
        <v>53</v>
      </c>
    </row>
    <row r="76" spans="1:17">
      <c r="A76" t="s">
        <v>167</v>
      </c>
      <c r="B76" s="1">
        <v>45754</v>
      </c>
      <c r="C76" s="1" t="str">
        <f t="shared" si="2"/>
        <v>Apr 2025</v>
      </c>
      <c r="D76" s="1">
        <f t="shared" si="3"/>
        <v>45748</v>
      </c>
      <c r="E76" t="s">
        <v>5</v>
      </c>
      <c r="F76" t="s">
        <v>97</v>
      </c>
      <c r="G76" t="s">
        <v>83</v>
      </c>
      <c r="H76" t="s">
        <v>57</v>
      </c>
      <c r="I76" t="s">
        <v>10</v>
      </c>
      <c r="J76" t="s">
        <v>80</v>
      </c>
      <c r="K76">
        <v>3</v>
      </c>
      <c r="L76" s="2">
        <v>151.44999999999999</v>
      </c>
      <c r="M76" s="3">
        <v>0.1</v>
      </c>
      <c r="N76" s="2">
        <v>408.91</v>
      </c>
      <c r="O76" s="2">
        <v>339.85</v>
      </c>
      <c r="P76" s="2">
        <v>69.06</v>
      </c>
      <c r="Q76" t="s">
        <v>75</v>
      </c>
    </row>
    <row r="77" spans="1:17">
      <c r="A77" t="s">
        <v>168</v>
      </c>
      <c r="B77" s="1">
        <v>46015</v>
      </c>
      <c r="C77" s="1" t="str">
        <f t="shared" si="2"/>
        <v>Dec 2025</v>
      </c>
      <c r="D77" s="1">
        <f t="shared" si="3"/>
        <v>45992</v>
      </c>
      <c r="E77" t="s">
        <v>6</v>
      </c>
      <c r="F77" t="s">
        <v>65</v>
      </c>
      <c r="G77" t="s">
        <v>94</v>
      </c>
      <c r="H77" t="s">
        <v>66</v>
      </c>
      <c r="I77" t="s">
        <v>12</v>
      </c>
      <c r="J77" t="s">
        <v>87</v>
      </c>
      <c r="K77">
        <v>1</v>
      </c>
      <c r="L77" s="2">
        <v>12.46</v>
      </c>
      <c r="M77" s="3">
        <v>0</v>
      </c>
      <c r="N77" s="2">
        <v>12.46</v>
      </c>
      <c r="O77" s="2">
        <v>9.1300000000000008</v>
      </c>
      <c r="P77" s="2">
        <v>3.33</v>
      </c>
      <c r="Q77" t="s">
        <v>75</v>
      </c>
    </row>
    <row r="78" spans="1:17">
      <c r="A78" t="s">
        <v>169</v>
      </c>
      <c r="B78" s="1">
        <v>45705</v>
      </c>
      <c r="C78" s="1" t="str">
        <f t="shared" si="2"/>
        <v>Feb 2025</v>
      </c>
      <c r="D78" s="1">
        <f t="shared" si="3"/>
        <v>45689</v>
      </c>
      <c r="E78" t="s">
        <v>6</v>
      </c>
      <c r="F78" t="s">
        <v>65</v>
      </c>
      <c r="G78" t="s">
        <v>71</v>
      </c>
      <c r="H78" t="s">
        <v>57</v>
      </c>
      <c r="I78" t="s">
        <v>11</v>
      </c>
      <c r="J78" t="s">
        <v>52</v>
      </c>
      <c r="K78">
        <v>2</v>
      </c>
      <c r="L78" s="2">
        <v>23.15</v>
      </c>
      <c r="M78" s="3">
        <v>0</v>
      </c>
      <c r="N78" s="2">
        <v>46.3</v>
      </c>
      <c r="O78" s="2">
        <v>31</v>
      </c>
      <c r="P78" s="2">
        <v>15.3</v>
      </c>
      <c r="Q78" t="s">
        <v>75</v>
      </c>
    </row>
    <row r="79" spans="1:17">
      <c r="A79" t="s">
        <v>170</v>
      </c>
      <c r="B79" s="1">
        <v>45899</v>
      </c>
      <c r="C79" s="1" t="str">
        <f t="shared" si="2"/>
        <v>Aug 2025</v>
      </c>
      <c r="D79" s="1">
        <f t="shared" si="3"/>
        <v>45870</v>
      </c>
      <c r="E79" t="s">
        <v>5</v>
      </c>
      <c r="F79" t="s">
        <v>79</v>
      </c>
      <c r="G79" t="s">
        <v>71</v>
      </c>
      <c r="H79" t="s">
        <v>57</v>
      </c>
      <c r="I79" t="s">
        <v>11</v>
      </c>
      <c r="J79" t="s">
        <v>63</v>
      </c>
      <c r="K79">
        <v>3</v>
      </c>
      <c r="L79" s="2">
        <v>78.75</v>
      </c>
      <c r="M79" s="3">
        <v>0.15</v>
      </c>
      <c r="N79" s="2">
        <v>200.81</v>
      </c>
      <c r="O79" s="2">
        <v>158.87</v>
      </c>
      <c r="P79" s="2">
        <v>41.94</v>
      </c>
      <c r="Q79" t="s">
        <v>59</v>
      </c>
    </row>
    <row r="80" spans="1:17">
      <c r="A80" t="s">
        <v>171</v>
      </c>
      <c r="B80" s="1">
        <v>45917</v>
      </c>
      <c r="C80" s="1" t="str">
        <f t="shared" si="2"/>
        <v>Sep 2025</v>
      </c>
      <c r="D80" s="1">
        <f t="shared" si="3"/>
        <v>45901</v>
      </c>
      <c r="E80" t="s">
        <v>7</v>
      </c>
      <c r="F80" t="s">
        <v>61</v>
      </c>
      <c r="G80" t="s">
        <v>91</v>
      </c>
      <c r="H80" t="s">
        <v>66</v>
      </c>
      <c r="I80" t="s">
        <v>12</v>
      </c>
      <c r="J80" t="s">
        <v>87</v>
      </c>
      <c r="K80">
        <v>2</v>
      </c>
      <c r="L80" s="2">
        <v>11.59</v>
      </c>
      <c r="M80" s="3">
        <v>0.15</v>
      </c>
      <c r="N80" s="2">
        <v>19.7</v>
      </c>
      <c r="O80" s="2">
        <v>16.09</v>
      </c>
      <c r="P80" s="2">
        <v>3.61</v>
      </c>
      <c r="Q80" t="s">
        <v>75</v>
      </c>
    </row>
    <row r="81" spans="1:17">
      <c r="A81" t="s">
        <v>172</v>
      </c>
      <c r="B81" s="1">
        <v>45834</v>
      </c>
      <c r="C81" s="1" t="str">
        <f t="shared" si="2"/>
        <v>Jun 2025</v>
      </c>
      <c r="D81" s="1">
        <f t="shared" si="3"/>
        <v>45809</v>
      </c>
      <c r="E81" t="s">
        <v>5</v>
      </c>
      <c r="F81" t="s">
        <v>73</v>
      </c>
      <c r="G81" t="s">
        <v>50</v>
      </c>
      <c r="H81" t="s">
        <v>51</v>
      </c>
      <c r="I81" t="s">
        <v>12</v>
      </c>
      <c r="J81" t="s">
        <v>77</v>
      </c>
      <c r="K81">
        <v>4</v>
      </c>
      <c r="L81" s="2">
        <v>14.74</v>
      </c>
      <c r="M81" s="3">
        <v>0.05</v>
      </c>
      <c r="N81" s="2">
        <v>56.01</v>
      </c>
      <c r="O81" s="2">
        <v>46.04</v>
      </c>
      <c r="P81" s="2">
        <v>9.9700000000000006</v>
      </c>
      <c r="Q81" t="s">
        <v>75</v>
      </c>
    </row>
    <row r="82" spans="1:17">
      <c r="A82" t="s">
        <v>173</v>
      </c>
      <c r="B82" s="1">
        <v>45680</v>
      </c>
      <c r="C82" s="1" t="str">
        <f t="shared" si="2"/>
        <v>Jan 2025</v>
      </c>
      <c r="D82" s="1">
        <f t="shared" si="3"/>
        <v>45658</v>
      </c>
      <c r="E82" t="s">
        <v>5</v>
      </c>
      <c r="F82" t="s">
        <v>97</v>
      </c>
      <c r="G82" t="s">
        <v>94</v>
      </c>
      <c r="H82" t="s">
        <v>51</v>
      </c>
      <c r="I82" t="s">
        <v>12</v>
      </c>
      <c r="J82" t="s">
        <v>138</v>
      </c>
      <c r="K82">
        <v>4</v>
      </c>
      <c r="L82" s="2">
        <v>30.2</v>
      </c>
      <c r="M82" s="3">
        <v>0.1</v>
      </c>
      <c r="N82" s="2">
        <v>108.72</v>
      </c>
      <c r="O82" s="2">
        <v>98.64</v>
      </c>
      <c r="P82" s="2">
        <v>10.08</v>
      </c>
      <c r="Q82" t="s">
        <v>59</v>
      </c>
    </row>
    <row r="83" spans="1:17">
      <c r="A83" t="s">
        <v>174</v>
      </c>
      <c r="B83" s="1">
        <v>45709</v>
      </c>
      <c r="C83" s="1" t="str">
        <f t="shared" si="2"/>
        <v>Feb 2025</v>
      </c>
      <c r="D83" s="1">
        <f t="shared" si="3"/>
        <v>45689</v>
      </c>
      <c r="E83" t="s">
        <v>5</v>
      </c>
      <c r="F83" t="s">
        <v>79</v>
      </c>
      <c r="G83" t="s">
        <v>91</v>
      </c>
      <c r="H83" t="s">
        <v>57</v>
      </c>
      <c r="I83" t="s">
        <v>12</v>
      </c>
      <c r="J83" t="s">
        <v>87</v>
      </c>
      <c r="K83">
        <v>3</v>
      </c>
      <c r="L83" s="2">
        <v>12.01</v>
      </c>
      <c r="M83" s="3">
        <v>0</v>
      </c>
      <c r="N83" s="2">
        <v>36.03</v>
      </c>
      <c r="O83" s="2">
        <v>23.17</v>
      </c>
      <c r="P83" s="2">
        <v>12.86</v>
      </c>
      <c r="Q83" t="s">
        <v>59</v>
      </c>
    </row>
    <row r="84" spans="1:17">
      <c r="A84" t="s">
        <v>175</v>
      </c>
      <c r="B84" s="1">
        <v>45977</v>
      </c>
      <c r="C84" s="1" t="str">
        <f t="shared" si="2"/>
        <v>Nov 2025</v>
      </c>
      <c r="D84" s="1">
        <f t="shared" si="3"/>
        <v>45962</v>
      </c>
      <c r="E84" t="s">
        <v>6</v>
      </c>
      <c r="F84" t="s">
        <v>65</v>
      </c>
      <c r="G84" t="s">
        <v>91</v>
      </c>
      <c r="H84" t="s">
        <v>66</v>
      </c>
      <c r="I84" t="s">
        <v>10</v>
      </c>
      <c r="J84" t="s">
        <v>67</v>
      </c>
      <c r="K84">
        <v>3</v>
      </c>
      <c r="L84" s="2">
        <v>228.35</v>
      </c>
      <c r="M84" s="3">
        <v>0.15</v>
      </c>
      <c r="N84" s="2">
        <v>582.29</v>
      </c>
      <c r="O84" s="2">
        <v>434.32</v>
      </c>
      <c r="P84" s="2">
        <v>147.97</v>
      </c>
      <c r="Q84" t="s">
        <v>53</v>
      </c>
    </row>
    <row r="85" spans="1:17">
      <c r="A85" t="s">
        <v>176</v>
      </c>
      <c r="B85" s="1">
        <v>45974</v>
      </c>
      <c r="C85" s="1" t="str">
        <f t="shared" si="2"/>
        <v>Nov 2025</v>
      </c>
      <c r="D85" s="1">
        <f t="shared" si="3"/>
        <v>45962</v>
      </c>
      <c r="E85" t="s">
        <v>7</v>
      </c>
      <c r="F85" t="s">
        <v>61</v>
      </c>
      <c r="G85" t="s">
        <v>85</v>
      </c>
      <c r="H85" t="s">
        <v>57</v>
      </c>
      <c r="I85" t="s">
        <v>11</v>
      </c>
      <c r="J85" t="s">
        <v>58</v>
      </c>
      <c r="K85">
        <v>3</v>
      </c>
      <c r="L85" s="2">
        <v>49.62</v>
      </c>
      <c r="M85" s="3">
        <v>0</v>
      </c>
      <c r="N85" s="2">
        <v>148.86000000000001</v>
      </c>
      <c r="O85" s="2">
        <v>110.76</v>
      </c>
      <c r="P85" s="2">
        <v>38.1</v>
      </c>
      <c r="Q85" t="s">
        <v>68</v>
      </c>
    </row>
    <row r="86" spans="1:17">
      <c r="A86" t="s">
        <v>177</v>
      </c>
      <c r="B86" s="1">
        <v>46013</v>
      </c>
      <c r="C86" s="1" t="str">
        <f t="shared" si="2"/>
        <v>Dec 2025</v>
      </c>
      <c r="D86" s="1">
        <f t="shared" si="3"/>
        <v>45992</v>
      </c>
      <c r="E86" t="s">
        <v>7</v>
      </c>
      <c r="F86" t="s">
        <v>61</v>
      </c>
      <c r="G86" t="s">
        <v>56</v>
      </c>
      <c r="H86" t="s">
        <v>66</v>
      </c>
      <c r="I86" t="s">
        <v>12</v>
      </c>
      <c r="J86" t="s">
        <v>87</v>
      </c>
      <c r="K86">
        <v>1</v>
      </c>
      <c r="L86" s="2">
        <v>12.9</v>
      </c>
      <c r="M86" s="3">
        <v>0.05</v>
      </c>
      <c r="N86" s="2">
        <v>12.25</v>
      </c>
      <c r="O86" s="2">
        <v>8.1</v>
      </c>
      <c r="P86" s="2">
        <v>4.1500000000000004</v>
      </c>
      <c r="Q86" t="s">
        <v>75</v>
      </c>
    </row>
    <row r="87" spans="1:17">
      <c r="A87" t="s">
        <v>178</v>
      </c>
      <c r="B87" s="1">
        <v>45947</v>
      </c>
      <c r="C87" s="1" t="str">
        <f t="shared" si="2"/>
        <v>Oct 2025</v>
      </c>
      <c r="D87" s="1">
        <f t="shared" si="3"/>
        <v>45931</v>
      </c>
      <c r="E87" t="s">
        <v>5</v>
      </c>
      <c r="F87" t="s">
        <v>97</v>
      </c>
      <c r="G87" t="s">
        <v>83</v>
      </c>
      <c r="H87" t="s">
        <v>51</v>
      </c>
      <c r="I87" t="s">
        <v>10</v>
      </c>
      <c r="J87" t="s">
        <v>125</v>
      </c>
      <c r="K87">
        <v>1</v>
      </c>
      <c r="L87" s="2">
        <v>293.56</v>
      </c>
      <c r="M87" s="3">
        <v>0.1</v>
      </c>
      <c r="N87" s="2">
        <v>264.2</v>
      </c>
      <c r="O87" s="2">
        <v>207.23</v>
      </c>
      <c r="P87" s="2">
        <v>56.97</v>
      </c>
      <c r="Q87" t="s">
        <v>75</v>
      </c>
    </row>
    <row r="88" spans="1:17">
      <c r="A88" t="s">
        <v>179</v>
      </c>
      <c r="B88" s="1">
        <v>45984</v>
      </c>
      <c r="C88" s="1" t="str">
        <f t="shared" si="2"/>
        <v>Nov 2025</v>
      </c>
      <c r="D88" s="1">
        <f t="shared" si="3"/>
        <v>45962</v>
      </c>
      <c r="E88" t="s">
        <v>4</v>
      </c>
      <c r="F88" t="s">
        <v>49</v>
      </c>
      <c r="G88" t="s">
        <v>85</v>
      </c>
      <c r="H88" t="s">
        <v>57</v>
      </c>
      <c r="I88" t="s">
        <v>12</v>
      </c>
      <c r="J88" t="s">
        <v>138</v>
      </c>
      <c r="K88">
        <v>2</v>
      </c>
      <c r="L88" s="2">
        <v>25.26</v>
      </c>
      <c r="M88" s="3">
        <v>0.1</v>
      </c>
      <c r="N88" s="2">
        <v>45.47</v>
      </c>
      <c r="O88" s="2">
        <v>39.93</v>
      </c>
      <c r="P88" s="2">
        <v>5.54</v>
      </c>
      <c r="Q88" t="s">
        <v>59</v>
      </c>
    </row>
    <row r="89" spans="1:17">
      <c r="A89" t="s">
        <v>180</v>
      </c>
      <c r="B89" s="1">
        <v>45958</v>
      </c>
      <c r="C89" s="1" t="str">
        <f t="shared" si="2"/>
        <v>Oct 2025</v>
      </c>
      <c r="D89" s="1">
        <f t="shared" si="3"/>
        <v>45931</v>
      </c>
      <c r="E89" t="s">
        <v>7</v>
      </c>
      <c r="F89" t="s">
        <v>101</v>
      </c>
      <c r="G89" t="s">
        <v>85</v>
      </c>
      <c r="H89" t="s">
        <v>51</v>
      </c>
      <c r="I89" t="s">
        <v>12</v>
      </c>
      <c r="J89" t="s">
        <v>138</v>
      </c>
      <c r="K89">
        <v>4</v>
      </c>
      <c r="L89" s="2">
        <v>28.01</v>
      </c>
      <c r="M89" s="3">
        <v>0.05</v>
      </c>
      <c r="N89" s="2">
        <v>106.44</v>
      </c>
      <c r="O89" s="2">
        <v>64.959999999999994</v>
      </c>
      <c r="P89" s="2">
        <v>41.48</v>
      </c>
      <c r="Q89" t="s">
        <v>75</v>
      </c>
    </row>
    <row r="90" spans="1:17">
      <c r="A90" t="s">
        <v>181</v>
      </c>
      <c r="B90" s="1">
        <v>45950</v>
      </c>
      <c r="C90" s="1" t="str">
        <f t="shared" si="2"/>
        <v>Oct 2025</v>
      </c>
      <c r="D90" s="1">
        <f t="shared" si="3"/>
        <v>45931</v>
      </c>
      <c r="E90" t="s">
        <v>7</v>
      </c>
      <c r="F90" t="s">
        <v>101</v>
      </c>
      <c r="G90" t="s">
        <v>94</v>
      </c>
      <c r="H90" t="s">
        <v>66</v>
      </c>
      <c r="I90" t="s">
        <v>12</v>
      </c>
      <c r="J90" t="s">
        <v>77</v>
      </c>
      <c r="K90">
        <v>2</v>
      </c>
      <c r="L90" s="2">
        <v>15.81</v>
      </c>
      <c r="M90" s="3">
        <v>0</v>
      </c>
      <c r="N90" s="2">
        <v>31.62</v>
      </c>
      <c r="O90" s="2">
        <v>25.72</v>
      </c>
      <c r="P90" s="2">
        <v>5.9</v>
      </c>
      <c r="Q90" t="s">
        <v>53</v>
      </c>
    </row>
    <row r="91" spans="1:17">
      <c r="A91" t="s">
        <v>182</v>
      </c>
      <c r="B91" s="1">
        <v>45968</v>
      </c>
      <c r="C91" s="1" t="str">
        <f t="shared" si="2"/>
        <v>Nov 2025</v>
      </c>
      <c r="D91" s="1">
        <f t="shared" si="3"/>
        <v>45962</v>
      </c>
      <c r="E91" t="s">
        <v>6</v>
      </c>
      <c r="F91" t="s">
        <v>109</v>
      </c>
      <c r="G91" t="s">
        <v>56</v>
      </c>
      <c r="H91" t="s">
        <v>66</v>
      </c>
      <c r="I91" t="s">
        <v>10</v>
      </c>
      <c r="J91" t="s">
        <v>67</v>
      </c>
      <c r="K91">
        <v>5</v>
      </c>
      <c r="L91" s="2">
        <v>230.72</v>
      </c>
      <c r="M91" s="3">
        <v>0</v>
      </c>
      <c r="N91" s="2">
        <v>1153.5999999999999</v>
      </c>
      <c r="O91" s="2">
        <v>809.97</v>
      </c>
      <c r="P91" s="2">
        <v>343.63</v>
      </c>
      <c r="Q91" t="s">
        <v>59</v>
      </c>
    </row>
    <row r="92" spans="1:17">
      <c r="A92" t="s">
        <v>183</v>
      </c>
      <c r="B92" s="1">
        <v>46005</v>
      </c>
      <c r="C92" s="1" t="str">
        <f t="shared" si="2"/>
        <v>Dec 2025</v>
      </c>
      <c r="D92" s="1">
        <f t="shared" si="3"/>
        <v>45992</v>
      </c>
      <c r="E92" t="s">
        <v>7</v>
      </c>
      <c r="F92" t="s">
        <v>61</v>
      </c>
      <c r="G92" t="s">
        <v>62</v>
      </c>
      <c r="H92" t="s">
        <v>66</v>
      </c>
      <c r="I92" t="s">
        <v>10</v>
      </c>
      <c r="J92" t="s">
        <v>125</v>
      </c>
      <c r="K92">
        <v>3</v>
      </c>
      <c r="L92" s="2">
        <v>351.6</v>
      </c>
      <c r="M92" s="3">
        <v>0</v>
      </c>
      <c r="N92" s="2">
        <v>1054.8</v>
      </c>
      <c r="O92" s="2">
        <v>646.25</v>
      </c>
      <c r="P92" s="2">
        <v>408.55</v>
      </c>
      <c r="Q92" t="s">
        <v>68</v>
      </c>
    </row>
    <row r="93" spans="1:17">
      <c r="A93" t="s">
        <v>184</v>
      </c>
      <c r="B93" s="1">
        <v>45704</v>
      </c>
      <c r="C93" s="1" t="str">
        <f t="shared" si="2"/>
        <v>Feb 2025</v>
      </c>
      <c r="D93" s="1">
        <f t="shared" si="3"/>
        <v>45689</v>
      </c>
      <c r="E93" t="s">
        <v>6</v>
      </c>
      <c r="F93" t="s">
        <v>65</v>
      </c>
      <c r="G93" t="s">
        <v>71</v>
      </c>
      <c r="H93" t="s">
        <v>51</v>
      </c>
      <c r="I93" t="s">
        <v>12</v>
      </c>
      <c r="J93" t="s">
        <v>74</v>
      </c>
      <c r="K93">
        <v>4</v>
      </c>
      <c r="L93" s="2">
        <v>9.39</v>
      </c>
      <c r="M93" s="3">
        <v>0</v>
      </c>
      <c r="N93" s="2">
        <v>37.56</v>
      </c>
      <c r="O93" s="2">
        <v>28.39</v>
      </c>
      <c r="P93" s="2">
        <v>9.17</v>
      </c>
      <c r="Q93" t="s">
        <v>59</v>
      </c>
    </row>
    <row r="94" spans="1:17">
      <c r="A94" t="s">
        <v>185</v>
      </c>
      <c r="B94" s="1">
        <v>45904</v>
      </c>
      <c r="C94" s="1" t="str">
        <f t="shared" si="2"/>
        <v>Sep 2025</v>
      </c>
      <c r="D94" s="1">
        <f t="shared" si="3"/>
        <v>45901</v>
      </c>
      <c r="E94" t="s">
        <v>5</v>
      </c>
      <c r="F94" t="s">
        <v>73</v>
      </c>
      <c r="G94" t="s">
        <v>50</v>
      </c>
      <c r="H94" t="s">
        <v>66</v>
      </c>
      <c r="I94" t="s">
        <v>12</v>
      </c>
      <c r="J94" t="s">
        <v>74</v>
      </c>
      <c r="K94">
        <v>5</v>
      </c>
      <c r="L94" s="2">
        <v>10.029999999999999</v>
      </c>
      <c r="M94" s="3">
        <v>0</v>
      </c>
      <c r="N94" s="2">
        <v>50.15</v>
      </c>
      <c r="O94" s="2">
        <v>28.2</v>
      </c>
      <c r="P94" s="2">
        <v>21.95</v>
      </c>
      <c r="Q94" t="s">
        <v>59</v>
      </c>
    </row>
    <row r="95" spans="1:17">
      <c r="A95" t="s">
        <v>186</v>
      </c>
      <c r="B95" s="1">
        <v>45704</v>
      </c>
      <c r="C95" s="1" t="str">
        <f t="shared" si="2"/>
        <v>Feb 2025</v>
      </c>
      <c r="D95" s="1">
        <f t="shared" si="3"/>
        <v>45689</v>
      </c>
      <c r="E95" t="s">
        <v>6</v>
      </c>
      <c r="F95" t="s">
        <v>65</v>
      </c>
      <c r="G95" t="s">
        <v>50</v>
      </c>
      <c r="H95" t="s">
        <v>66</v>
      </c>
      <c r="I95" t="s">
        <v>12</v>
      </c>
      <c r="J95" t="s">
        <v>87</v>
      </c>
      <c r="K95">
        <v>2</v>
      </c>
      <c r="L95" s="2">
        <v>11.13</v>
      </c>
      <c r="M95" s="3">
        <v>0.05</v>
      </c>
      <c r="N95" s="2">
        <v>21.15</v>
      </c>
      <c r="O95" s="2">
        <v>16.07</v>
      </c>
      <c r="P95" s="2">
        <v>5.08</v>
      </c>
      <c r="Q95" t="s">
        <v>59</v>
      </c>
    </row>
    <row r="96" spans="1:17">
      <c r="A96" t="s">
        <v>187</v>
      </c>
      <c r="B96" s="1">
        <v>45713</v>
      </c>
      <c r="C96" s="1" t="str">
        <f t="shared" si="2"/>
        <v>Feb 2025</v>
      </c>
      <c r="D96" s="1">
        <f t="shared" si="3"/>
        <v>45689</v>
      </c>
      <c r="E96" t="s">
        <v>4</v>
      </c>
      <c r="F96" t="s">
        <v>49</v>
      </c>
      <c r="G96" t="s">
        <v>85</v>
      </c>
      <c r="H96" t="s">
        <v>66</v>
      </c>
      <c r="I96" t="s">
        <v>10</v>
      </c>
      <c r="J96" t="s">
        <v>125</v>
      </c>
      <c r="K96">
        <v>2</v>
      </c>
      <c r="L96" s="2">
        <v>331.62</v>
      </c>
      <c r="M96" s="3">
        <v>0.15</v>
      </c>
      <c r="N96" s="2">
        <v>563.75</v>
      </c>
      <c r="O96" s="2">
        <v>410.15</v>
      </c>
      <c r="P96" s="2">
        <v>153.6</v>
      </c>
      <c r="Q96" t="s">
        <v>75</v>
      </c>
    </row>
    <row r="97" spans="1:17">
      <c r="A97" t="s">
        <v>188</v>
      </c>
      <c r="B97" s="1">
        <v>46016</v>
      </c>
      <c r="C97" s="1" t="str">
        <f t="shared" si="2"/>
        <v>Dec 2025</v>
      </c>
      <c r="D97" s="1">
        <f t="shared" si="3"/>
        <v>45992</v>
      </c>
      <c r="E97" t="s">
        <v>7</v>
      </c>
      <c r="F97" t="s">
        <v>61</v>
      </c>
      <c r="G97" t="s">
        <v>85</v>
      </c>
      <c r="H97" t="s">
        <v>51</v>
      </c>
      <c r="I97" t="s">
        <v>12</v>
      </c>
      <c r="J97" t="s">
        <v>138</v>
      </c>
      <c r="K97">
        <v>1</v>
      </c>
      <c r="L97" s="2">
        <v>25.48</v>
      </c>
      <c r="M97" s="3">
        <v>0</v>
      </c>
      <c r="N97" s="2">
        <v>25.48</v>
      </c>
      <c r="O97" s="2">
        <v>15.58</v>
      </c>
      <c r="P97" s="2">
        <v>9.9</v>
      </c>
      <c r="Q97" t="s">
        <v>68</v>
      </c>
    </row>
    <row r="98" spans="1:17">
      <c r="A98" t="s">
        <v>189</v>
      </c>
      <c r="B98" s="1">
        <v>45856</v>
      </c>
      <c r="C98" s="1" t="str">
        <f t="shared" si="2"/>
        <v>Jul 2025</v>
      </c>
      <c r="D98" s="1">
        <f t="shared" si="3"/>
        <v>45839</v>
      </c>
      <c r="E98" t="s">
        <v>5</v>
      </c>
      <c r="F98" t="s">
        <v>97</v>
      </c>
      <c r="G98" t="s">
        <v>85</v>
      </c>
      <c r="H98" t="s">
        <v>57</v>
      </c>
      <c r="I98" t="s">
        <v>12</v>
      </c>
      <c r="J98" t="s">
        <v>74</v>
      </c>
      <c r="K98">
        <v>4</v>
      </c>
      <c r="L98" s="2">
        <v>10.63</v>
      </c>
      <c r="M98" s="3">
        <v>0.15</v>
      </c>
      <c r="N98" s="2">
        <v>36.14</v>
      </c>
      <c r="O98" s="2">
        <v>27.46</v>
      </c>
      <c r="P98" s="2">
        <v>8.68</v>
      </c>
      <c r="Q98" t="s">
        <v>75</v>
      </c>
    </row>
    <row r="99" spans="1:17">
      <c r="A99" t="s">
        <v>190</v>
      </c>
      <c r="B99" s="1">
        <v>45801</v>
      </c>
      <c r="C99" s="1" t="str">
        <f t="shared" si="2"/>
        <v>May 2025</v>
      </c>
      <c r="D99" s="1">
        <f t="shared" si="3"/>
        <v>45778</v>
      </c>
      <c r="E99" t="s">
        <v>8</v>
      </c>
      <c r="F99" t="s">
        <v>90</v>
      </c>
      <c r="G99" t="s">
        <v>62</v>
      </c>
      <c r="H99" t="s">
        <v>66</v>
      </c>
      <c r="I99" t="s">
        <v>11</v>
      </c>
      <c r="J99" t="s">
        <v>115</v>
      </c>
      <c r="K99">
        <v>1</v>
      </c>
      <c r="L99" s="2">
        <v>219.52</v>
      </c>
      <c r="M99" s="3">
        <v>0</v>
      </c>
      <c r="N99" s="2">
        <v>219.52</v>
      </c>
      <c r="O99" s="2">
        <v>170.49</v>
      </c>
      <c r="P99" s="2">
        <v>49.03</v>
      </c>
      <c r="Q99" t="s">
        <v>59</v>
      </c>
    </row>
    <row r="100" spans="1:17">
      <c r="A100" t="s">
        <v>191</v>
      </c>
      <c r="B100" s="1">
        <v>45689</v>
      </c>
      <c r="C100" s="1" t="str">
        <f t="shared" si="2"/>
        <v>Feb 2025</v>
      </c>
      <c r="D100" s="1">
        <f t="shared" si="3"/>
        <v>45689</v>
      </c>
      <c r="E100" t="s">
        <v>5</v>
      </c>
      <c r="F100" t="s">
        <v>73</v>
      </c>
      <c r="G100" t="s">
        <v>94</v>
      </c>
      <c r="H100" t="s">
        <v>51</v>
      </c>
      <c r="I100" t="s">
        <v>12</v>
      </c>
      <c r="J100" t="s">
        <v>74</v>
      </c>
      <c r="K100">
        <v>1</v>
      </c>
      <c r="L100" s="2">
        <v>9.27</v>
      </c>
      <c r="M100" s="3">
        <v>0.1</v>
      </c>
      <c r="N100" s="2">
        <v>8.34</v>
      </c>
      <c r="O100" s="2">
        <v>5.08</v>
      </c>
      <c r="P100" s="2">
        <v>3.26</v>
      </c>
      <c r="Q100" t="s">
        <v>59</v>
      </c>
    </row>
    <row r="101" spans="1:17">
      <c r="A101" t="s">
        <v>192</v>
      </c>
      <c r="B101" s="1">
        <v>45782</v>
      </c>
      <c r="C101" s="1" t="str">
        <f t="shared" si="2"/>
        <v>May 2025</v>
      </c>
      <c r="D101" s="1">
        <f t="shared" si="3"/>
        <v>45778</v>
      </c>
      <c r="E101" t="s">
        <v>5</v>
      </c>
      <c r="F101" t="s">
        <v>79</v>
      </c>
      <c r="G101" t="s">
        <v>62</v>
      </c>
      <c r="H101" t="s">
        <v>51</v>
      </c>
      <c r="I101" t="s">
        <v>11</v>
      </c>
      <c r="J101" t="s">
        <v>107</v>
      </c>
      <c r="K101">
        <v>1</v>
      </c>
      <c r="L101" s="2">
        <v>59.54</v>
      </c>
      <c r="M101" s="3">
        <v>0.15</v>
      </c>
      <c r="N101" s="2">
        <v>50.61</v>
      </c>
      <c r="O101" s="2">
        <v>34.659999999999997</v>
      </c>
      <c r="P101" s="2">
        <v>15.95</v>
      </c>
      <c r="Q101" t="s">
        <v>53</v>
      </c>
    </row>
    <row r="102" spans="1:17">
      <c r="A102" t="s">
        <v>193</v>
      </c>
      <c r="B102" s="1">
        <v>45799</v>
      </c>
      <c r="C102" s="1" t="str">
        <f t="shared" si="2"/>
        <v>May 2025</v>
      </c>
      <c r="D102" s="1">
        <f t="shared" si="3"/>
        <v>45778</v>
      </c>
      <c r="E102" t="s">
        <v>8</v>
      </c>
      <c r="F102" t="s">
        <v>82</v>
      </c>
      <c r="G102" t="s">
        <v>94</v>
      </c>
      <c r="H102" t="s">
        <v>57</v>
      </c>
      <c r="I102" t="s">
        <v>11</v>
      </c>
      <c r="J102" t="s">
        <v>58</v>
      </c>
      <c r="K102">
        <v>3</v>
      </c>
      <c r="L102" s="2">
        <v>48.41</v>
      </c>
      <c r="M102" s="3">
        <v>0</v>
      </c>
      <c r="N102" s="2">
        <v>145.22999999999999</v>
      </c>
      <c r="O102" s="2">
        <v>104.32</v>
      </c>
      <c r="P102" s="2">
        <v>40.909999999999997</v>
      </c>
      <c r="Q102" t="s">
        <v>68</v>
      </c>
    </row>
    <row r="103" spans="1:17">
      <c r="A103" t="s">
        <v>194</v>
      </c>
      <c r="B103" s="1">
        <v>45959</v>
      </c>
      <c r="C103" s="1" t="str">
        <f t="shared" si="2"/>
        <v>Oct 2025</v>
      </c>
      <c r="D103" s="1">
        <f t="shared" si="3"/>
        <v>45931</v>
      </c>
      <c r="E103" t="s">
        <v>8</v>
      </c>
      <c r="F103" t="s">
        <v>70</v>
      </c>
      <c r="G103" t="s">
        <v>91</v>
      </c>
      <c r="H103" t="s">
        <v>57</v>
      </c>
      <c r="I103" t="s">
        <v>12</v>
      </c>
      <c r="J103" t="s">
        <v>87</v>
      </c>
      <c r="K103">
        <v>1</v>
      </c>
      <c r="L103" s="2">
        <v>10.94</v>
      </c>
      <c r="M103" s="3">
        <v>0.1</v>
      </c>
      <c r="N103" s="2">
        <v>9.85</v>
      </c>
      <c r="O103" s="2">
        <v>7.42</v>
      </c>
      <c r="P103" s="2">
        <v>2.4300000000000002</v>
      </c>
      <c r="Q103" t="s">
        <v>53</v>
      </c>
    </row>
    <row r="104" spans="1:17">
      <c r="A104" t="s">
        <v>195</v>
      </c>
      <c r="B104" s="1">
        <v>45889</v>
      </c>
      <c r="C104" s="1" t="str">
        <f t="shared" si="2"/>
        <v>Aug 2025</v>
      </c>
      <c r="D104" s="1">
        <f t="shared" si="3"/>
        <v>45870</v>
      </c>
      <c r="E104" t="s">
        <v>8</v>
      </c>
      <c r="F104" t="s">
        <v>82</v>
      </c>
      <c r="G104" t="s">
        <v>91</v>
      </c>
      <c r="H104" t="s">
        <v>57</v>
      </c>
      <c r="I104" t="s">
        <v>10</v>
      </c>
      <c r="J104" t="s">
        <v>125</v>
      </c>
      <c r="K104">
        <v>8</v>
      </c>
      <c r="L104" s="2">
        <v>291.05</v>
      </c>
      <c r="M104" s="3">
        <v>0.15</v>
      </c>
      <c r="N104" s="2">
        <v>1979.14</v>
      </c>
      <c r="O104" s="2">
        <v>1421.46</v>
      </c>
      <c r="P104" s="2">
        <v>557.67999999999995</v>
      </c>
      <c r="Q104" t="s">
        <v>75</v>
      </c>
    </row>
    <row r="105" spans="1:17">
      <c r="A105" t="s">
        <v>196</v>
      </c>
      <c r="B105" s="1">
        <v>46009</v>
      </c>
      <c r="C105" s="1" t="str">
        <f t="shared" si="2"/>
        <v>Dec 2025</v>
      </c>
      <c r="D105" s="1">
        <f t="shared" si="3"/>
        <v>45992</v>
      </c>
      <c r="E105" t="s">
        <v>5</v>
      </c>
      <c r="F105" t="s">
        <v>79</v>
      </c>
      <c r="G105" t="s">
        <v>83</v>
      </c>
      <c r="H105" t="s">
        <v>57</v>
      </c>
      <c r="I105" t="s">
        <v>11</v>
      </c>
      <c r="J105" t="s">
        <v>63</v>
      </c>
      <c r="K105">
        <v>4</v>
      </c>
      <c r="L105" s="2">
        <v>79.81</v>
      </c>
      <c r="M105" s="3">
        <v>0</v>
      </c>
      <c r="N105" s="2">
        <v>319.24</v>
      </c>
      <c r="O105" s="2">
        <v>196.85</v>
      </c>
      <c r="P105" s="2">
        <v>122.39</v>
      </c>
      <c r="Q105" t="s">
        <v>59</v>
      </c>
    </row>
    <row r="106" spans="1:17">
      <c r="A106" t="s">
        <v>197</v>
      </c>
      <c r="B106" s="1">
        <v>45853</v>
      </c>
      <c r="C106" s="1" t="str">
        <f t="shared" si="2"/>
        <v>Jul 2025</v>
      </c>
      <c r="D106" s="1">
        <f t="shared" si="3"/>
        <v>45839</v>
      </c>
      <c r="E106" t="s">
        <v>8</v>
      </c>
      <c r="F106" t="s">
        <v>90</v>
      </c>
      <c r="G106" t="s">
        <v>56</v>
      </c>
      <c r="H106" t="s">
        <v>57</v>
      </c>
      <c r="I106" t="s">
        <v>10</v>
      </c>
      <c r="J106" t="s">
        <v>102</v>
      </c>
      <c r="K106">
        <v>2</v>
      </c>
      <c r="L106" s="2">
        <v>40.450000000000003</v>
      </c>
      <c r="M106" s="3">
        <v>0.1</v>
      </c>
      <c r="N106" s="2">
        <v>72.81</v>
      </c>
      <c r="O106" s="2">
        <v>44.48</v>
      </c>
      <c r="P106" s="2">
        <v>28.33</v>
      </c>
      <c r="Q106" t="s">
        <v>75</v>
      </c>
    </row>
    <row r="107" spans="1:17">
      <c r="A107" t="s">
        <v>198</v>
      </c>
      <c r="B107" s="1">
        <v>45774</v>
      </c>
      <c r="C107" s="1" t="str">
        <f t="shared" si="2"/>
        <v>Apr 2025</v>
      </c>
      <c r="D107" s="1">
        <f t="shared" si="3"/>
        <v>45748</v>
      </c>
      <c r="E107" t="s">
        <v>6</v>
      </c>
      <c r="F107" t="s">
        <v>65</v>
      </c>
      <c r="G107" t="s">
        <v>71</v>
      </c>
      <c r="H107" t="s">
        <v>57</v>
      </c>
      <c r="I107" t="s">
        <v>12</v>
      </c>
      <c r="J107" t="s">
        <v>74</v>
      </c>
      <c r="K107">
        <v>5</v>
      </c>
      <c r="L107" s="2">
        <v>9.8800000000000008</v>
      </c>
      <c r="M107" s="3">
        <v>0</v>
      </c>
      <c r="N107" s="2">
        <v>49.4</v>
      </c>
      <c r="O107" s="2">
        <v>30.32</v>
      </c>
      <c r="P107" s="2">
        <v>19.079999999999998</v>
      </c>
      <c r="Q107" t="s">
        <v>68</v>
      </c>
    </row>
    <row r="108" spans="1:17">
      <c r="A108" t="s">
        <v>199</v>
      </c>
      <c r="B108" s="1">
        <v>46009</v>
      </c>
      <c r="C108" s="1" t="str">
        <f t="shared" si="2"/>
        <v>Dec 2025</v>
      </c>
      <c r="D108" s="1">
        <f t="shared" si="3"/>
        <v>45992</v>
      </c>
      <c r="E108" t="s">
        <v>6</v>
      </c>
      <c r="F108" t="s">
        <v>109</v>
      </c>
      <c r="G108" t="s">
        <v>94</v>
      </c>
      <c r="H108" t="s">
        <v>66</v>
      </c>
      <c r="I108" t="s">
        <v>12</v>
      </c>
      <c r="J108" t="s">
        <v>87</v>
      </c>
      <c r="K108">
        <v>1</v>
      </c>
      <c r="L108" s="2">
        <v>11.03</v>
      </c>
      <c r="M108" s="3">
        <v>0.1</v>
      </c>
      <c r="N108" s="2">
        <v>9.93</v>
      </c>
      <c r="O108" s="2">
        <v>6.06</v>
      </c>
      <c r="P108" s="2">
        <v>3.87</v>
      </c>
      <c r="Q108" t="s">
        <v>59</v>
      </c>
    </row>
    <row r="109" spans="1:17">
      <c r="A109" t="s">
        <v>200</v>
      </c>
      <c r="B109" s="1">
        <v>46001</v>
      </c>
      <c r="C109" s="1" t="str">
        <f t="shared" si="2"/>
        <v>Dec 2025</v>
      </c>
      <c r="D109" s="1">
        <f t="shared" si="3"/>
        <v>45992</v>
      </c>
      <c r="E109" t="s">
        <v>8</v>
      </c>
      <c r="F109" t="s">
        <v>70</v>
      </c>
      <c r="G109" t="s">
        <v>71</v>
      </c>
      <c r="H109" t="s">
        <v>57</v>
      </c>
      <c r="I109" t="s">
        <v>11</v>
      </c>
      <c r="J109" t="s">
        <v>63</v>
      </c>
      <c r="K109">
        <v>2</v>
      </c>
      <c r="L109" s="2">
        <v>83.71</v>
      </c>
      <c r="M109" s="3">
        <v>0.1</v>
      </c>
      <c r="N109" s="2">
        <v>150.68</v>
      </c>
      <c r="O109" s="2">
        <v>130.66</v>
      </c>
      <c r="P109" s="2">
        <v>20.02</v>
      </c>
      <c r="Q109" t="s">
        <v>53</v>
      </c>
    </row>
    <row r="110" spans="1:17">
      <c r="A110" t="s">
        <v>201</v>
      </c>
      <c r="B110" s="1">
        <v>45953</v>
      </c>
      <c r="C110" s="1" t="str">
        <f t="shared" si="2"/>
        <v>Oct 2025</v>
      </c>
      <c r="D110" s="1">
        <f t="shared" si="3"/>
        <v>45931</v>
      </c>
      <c r="E110" t="s">
        <v>4</v>
      </c>
      <c r="F110" t="s">
        <v>55</v>
      </c>
      <c r="G110" t="s">
        <v>85</v>
      </c>
      <c r="H110" t="s">
        <v>57</v>
      </c>
      <c r="I110" t="s">
        <v>10</v>
      </c>
      <c r="J110" t="s">
        <v>125</v>
      </c>
      <c r="K110">
        <v>1</v>
      </c>
      <c r="L110" s="2">
        <v>321.95</v>
      </c>
      <c r="M110" s="3">
        <v>0</v>
      </c>
      <c r="N110" s="2">
        <v>321.95</v>
      </c>
      <c r="O110" s="2">
        <v>201.23</v>
      </c>
      <c r="P110" s="2">
        <v>120.72</v>
      </c>
      <c r="Q110" t="s">
        <v>68</v>
      </c>
    </row>
    <row r="111" spans="1:17">
      <c r="A111" t="s">
        <v>202</v>
      </c>
      <c r="B111" s="1">
        <v>45877</v>
      </c>
      <c r="C111" s="1" t="str">
        <f t="shared" si="2"/>
        <v>Aug 2025</v>
      </c>
      <c r="D111" s="1">
        <f t="shared" si="3"/>
        <v>45870</v>
      </c>
      <c r="E111" t="s">
        <v>6</v>
      </c>
      <c r="F111" t="s">
        <v>109</v>
      </c>
      <c r="G111" t="s">
        <v>83</v>
      </c>
      <c r="H111" t="s">
        <v>57</v>
      </c>
      <c r="I111" t="s">
        <v>10</v>
      </c>
      <c r="J111" t="s">
        <v>102</v>
      </c>
      <c r="K111">
        <v>3</v>
      </c>
      <c r="L111" s="2">
        <v>41.66</v>
      </c>
      <c r="M111" s="3">
        <v>0</v>
      </c>
      <c r="N111" s="2">
        <v>124.98</v>
      </c>
      <c r="O111" s="2">
        <v>87.82</v>
      </c>
      <c r="P111" s="2">
        <v>37.159999999999997</v>
      </c>
      <c r="Q111" t="s">
        <v>59</v>
      </c>
    </row>
    <row r="112" spans="1:17">
      <c r="A112" t="s">
        <v>203</v>
      </c>
      <c r="B112" s="1">
        <v>45831</v>
      </c>
      <c r="C112" s="1" t="str">
        <f t="shared" si="2"/>
        <v>Jun 2025</v>
      </c>
      <c r="D112" s="1">
        <f t="shared" si="3"/>
        <v>45809</v>
      </c>
      <c r="E112" t="s">
        <v>8</v>
      </c>
      <c r="F112" t="s">
        <v>82</v>
      </c>
      <c r="G112" t="s">
        <v>56</v>
      </c>
      <c r="H112" t="s">
        <v>57</v>
      </c>
      <c r="I112" t="s">
        <v>12</v>
      </c>
      <c r="J112" t="s">
        <v>87</v>
      </c>
      <c r="K112">
        <v>1</v>
      </c>
      <c r="L112" s="2">
        <v>11.18</v>
      </c>
      <c r="M112" s="3">
        <v>0.1</v>
      </c>
      <c r="N112" s="2">
        <v>10.06</v>
      </c>
      <c r="O112" s="2">
        <v>6.05</v>
      </c>
      <c r="P112" s="2">
        <v>4.01</v>
      </c>
      <c r="Q112" t="s">
        <v>75</v>
      </c>
    </row>
    <row r="113" spans="1:17">
      <c r="A113" t="s">
        <v>204</v>
      </c>
      <c r="B113" s="1">
        <v>45890</v>
      </c>
      <c r="C113" s="1" t="str">
        <f t="shared" si="2"/>
        <v>Aug 2025</v>
      </c>
      <c r="D113" s="1">
        <f t="shared" si="3"/>
        <v>45870</v>
      </c>
      <c r="E113" t="s">
        <v>8</v>
      </c>
      <c r="F113" t="s">
        <v>82</v>
      </c>
      <c r="G113" t="s">
        <v>83</v>
      </c>
      <c r="H113" t="s">
        <v>66</v>
      </c>
      <c r="I113" t="s">
        <v>12</v>
      </c>
      <c r="J113" t="s">
        <v>112</v>
      </c>
      <c r="K113">
        <v>2</v>
      </c>
      <c r="L113" s="2">
        <v>8.4700000000000006</v>
      </c>
      <c r="M113" s="3">
        <v>0.15</v>
      </c>
      <c r="N113" s="2">
        <v>14.4</v>
      </c>
      <c r="O113" s="2">
        <v>11.84</v>
      </c>
      <c r="P113" s="2">
        <v>2.56</v>
      </c>
      <c r="Q113" t="s">
        <v>53</v>
      </c>
    </row>
    <row r="114" spans="1:17">
      <c r="A114" t="s">
        <v>205</v>
      </c>
      <c r="B114" s="1">
        <v>46003</v>
      </c>
      <c r="C114" s="1" t="str">
        <f t="shared" si="2"/>
        <v>Dec 2025</v>
      </c>
      <c r="D114" s="1">
        <f t="shared" si="3"/>
        <v>45992</v>
      </c>
      <c r="E114" t="s">
        <v>6</v>
      </c>
      <c r="F114" t="s">
        <v>109</v>
      </c>
      <c r="G114" t="s">
        <v>85</v>
      </c>
      <c r="H114" t="s">
        <v>57</v>
      </c>
      <c r="I114" t="s">
        <v>11</v>
      </c>
      <c r="J114" t="s">
        <v>115</v>
      </c>
      <c r="K114">
        <v>2</v>
      </c>
      <c r="L114" s="2">
        <v>218.52</v>
      </c>
      <c r="M114" s="3">
        <v>0.15</v>
      </c>
      <c r="N114" s="2">
        <v>371.48</v>
      </c>
      <c r="O114" s="2">
        <v>285.22000000000003</v>
      </c>
      <c r="P114" s="2">
        <v>86.26</v>
      </c>
      <c r="Q114" t="s">
        <v>75</v>
      </c>
    </row>
    <row r="115" spans="1:17">
      <c r="A115" t="s">
        <v>206</v>
      </c>
      <c r="B115" s="1">
        <v>45714</v>
      </c>
      <c r="C115" s="1" t="str">
        <f t="shared" si="2"/>
        <v>Feb 2025</v>
      </c>
      <c r="D115" s="1">
        <f t="shared" si="3"/>
        <v>45689</v>
      </c>
      <c r="E115" t="s">
        <v>4</v>
      </c>
      <c r="F115" t="s">
        <v>49</v>
      </c>
      <c r="G115" t="s">
        <v>94</v>
      </c>
      <c r="H115" t="s">
        <v>51</v>
      </c>
      <c r="I115" t="s">
        <v>12</v>
      </c>
      <c r="J115" t="s">
        <v>77</v>
      </c>
      <c r="K115">
        <v>2</v>
      </c>
      <c r="L115" s="2">
        <v>15.7</v>
      </c>
      <c r="M115" s="3">
        <v>0</v>
      </c>
      <c r="N115" s="2">
        <v>31.4</v>
      </c>
      <c r="O115" s="2">
        <v>18.41</v>
      </c>
      <c r="P115" s="2">
        <v>12.99</v>
      </c>
      <c r="Q115" t="s">
        <v>59</v>
      </c>
    </row>
    <row r="116" spans="1:17">
      <c r="A116" t="s">
        <v>207</v>
      </c>
      <c r="B116" s="1">
        <v>45766</v>
      </c>
      <c r="C116" s="1" t="str">
        <f t="shared" si="2"/>
        <v>Apr 2025</v>
      </c>
      <c r="D116" s="1">
        <f t="shared" si="3"/>
        <v>45748</v>
      </c>
      <c r="E116" t="s">
        <v>5</v>
      </c>
      <c r="F116" t="s">
        <v>79</v>
      </c>
      <c r="G116" t="s">
        <v>50</v>
      </c>
      <c r="H116" t="s">
        <v>66</v>
      </c>
      <c r="I116" t="s">
        <v>11</v>
      </c>
      <c r="J116" t="s">
        <v>115</v>
      </c>
      <c r="K116">
        <v>2</v>
      </c>
      <c r="L116" s="2">
        <v>203.81</v>
      </c>
      <c r="M116" s="3">
        <v>0.1</v>
      </c>
      <c r="N116" s="2">
        <v>366.86</v>
      </c>
      <c r="O116" s="2">
        <v>303.31</v>
      </c>
      <c r="P116" s="2">
        <v>63.55</v>
      </c>
      <c r="Q116" t="s">
        <v>68</v>
      </c>
    </row>
    <row r="117" spans="1:17">
      <c r="A117" t="s">
        <v>208</v>
      </c>
      <c r="B117" s="1">
        <v>45914</v>
      </c>
      <c r="C117" s="1" t="str">
        <f t="shared" si="2"/>
        <v>Sep 2025</v>
      </c>
      <c r="D117" s="1">
        <f t="shared" si="3"/>
        <v>45901</v>
      </c>
      <c r="E117" t="s">
        <v>7</v>
      </c>
      <c r="F117" t="s">
        <v>61</v>
      </c>
      <c r="G117" t="s">
        <v>62</v>
      </c>
      <c r="H117" t="s">
        <v>66</v>
      </c>
      <c r="I117" t="s">
        <v>10</v>
      </c>
      <c r="J117" t="s">
        <v>80</v>
      </c>
      <c r="K117">
        <v>1</v>
      </c>
      <c r="L117" s="2">
        <v>163.44</v>
      </c>
      <c r="M117" s="3">
        <v>0</v>
      </c>
      <c r="N117" s="2">
        <v>163.44</v>
      </c>
      <c r="O117" s="2">
        <v>106.38</v>
      </c>
      <c r="P117" s="2">
        <v>57.06</v>
      </c>
      <c r="Q117" t="s">
        <v>75</v>
      </c>
    </row>
    <row r="118" spans="1:17">
      <c r="A118" t="s">
        <v>209</v>
      </c>
      <c r="B118" s="1">
        <v>45951</v>
      </c>
      <c r="C118" s="1" t="str">
        <f t="shared" si="2"/>
        <v>Oct 2025</v>
      </c>
      <c r="D118" s="1">
        <f t="shared" si="3"/>
        <v>45931</v>
      </c>
      <c r="E118" t="s">
        <v>4</v>
      </c>
      <c r="F118" t="s">
        <v>55</v>
      </c>
      <c r="G118" t="s">
        <v>62</v>
      </c>
      <c r="H118" t="s">
        <v>51</v>
      </c>
      <c r="I118" t="s">
        <v>12</v>
      </c>
      <c r="J118" t="s">
        <v>138</v>
      </c>
      <c r="K118">
        <v>2</v>
      </c>
      <c r="L118" s="2">
        <v>27.69</v>
      </c>
      <c r="M118" s="3">
        <v>0.05</v>
      </c>
      <c r="N118" s="2">
        <v>52.61</v>
      </c>
      <c r="O118" s="2">
        <v>31.65</v>
      </c>
      <c r="P118" s="2">
        <v>20.96</v>
      </c>
      <c r="Q118" t="s">
        <v>75</v>
      </c>
    </row>
    <row r="119" spans="1:17">
      <c r="A119" t="s">
        <v>210</v>
      </c>
      <c r="B119" s="1">
        <v>45712</v>
      </c>
      <c r="C119" s="1" t="str">
        <f t="shared" si="2"/>
        <v>Feb 2025</v>
      </c>
      <c r="D119" s="1">
        <f t="shared" si="3"/>
        <v>45689</v>
      </c>
      <c r="E119" t="s">
        <v>6</v>
      </c>
      <c r="F119" t="s">
        <v>109</v>
      </c>
      <c r="G119" t="s">
        <v>62</v>
      </c>
      <c r="H119" t="s">
        <v>51</v>
      </c>
      <c r="I119" t="s">
        <v>11</v>
      </c>
      <c r="J119" t="s">
        <v>63</v>
      </c>
      <c r="K119">
        <v>3</v>
      </c>
      <c r="L119" s="2">
        <v>81.22</v>
      </c>
      <c r="M119" s="3">
        <v>0.1</v>
      </c>
      <c r="N119" s="2">
        <v>219.29</v>
      </c>
      <c r="O119" s="2">
        <v>190.34</v>
      </c>
      <c r="P119" s="2">
        <v>28.95</v>
      </c>
      <c r="Q119" t="s">
        <v>53</v>
      </c>
    </row>
    <row r="120" spans="1:17">
      <c r="A120" t="s">
        <v>211</v>
      </c>
      <c r="B120" s="1">
        <v>45919</v>
      </c>
      <c r="C120" s="1" t="str">
        <f t="shared" si="2"/>
        <v>Sep 2025</v>
      </c>
      <c r="D120" s="1">
        <f t="shared" si="3"/>
        <v>45901</v>
      </c>
      <c r="E120" t="s">
        <v>5</v>
      </c>
      <c r="F120" t="s">
        <v>79</v>
      </c>
      <c r="G120" t="s">
        <v>85</v>
      </c>
      <c r="H120" t="s">
        <v>51</v>
      </c>
      <c r="I120" t="s">
        <v>10</v>
      </c>
      <c r="J120" t="s">
        <v>130</v>
      </c>
      <c r="K120">
        <v>3</v>
      </c>
      <c r="L120" s="2">
        <v>169.68</v>
      </c>
      <c r="M120" s="3">
        <v>0.05</v>
      </c>
      <c r="N120" s="2">
        <v>483.59</v>
      </c>
      <c r="O120" s="2">
        <v>318.32</v>
      </c>
      <c r="P120" s="2">
        <v>165.27</v>
      </c>
      <c r="Q120" t="s">
        <v>59</v>
      </c>
    </row>
    <row r="121" spans="1:17">
      <c r="A121" t="s">
        <v>212</v>
      </c>
      <c r="B121" s="1">
        <v>45759</v>
      </c>
      <c r="C121" s="1" t="str">
        <f t="shared" si="2"/>
        <v>Apr 2025</v>
      </c>
      <c r="D121" s="1">
        <f t="shared" si="3"/>
        <v>45748</v>
      </c>
      <c r="E121" t="s">
        <v>7</v>
      </c>
      <c r="F121" t="s">
        <v>101</v>
      </c>
      <c r="G121" t="s">
        <v>91</v>
      </c>
      <c r="H121" t="s">
        <v>66</v>
      </c>
      <c r="I121" t="s">
        <v>11</v>
      </c>
      <c r="J121" t="s">
        <v>107</v>
      </c>
      <c r="K121">
        <v>1</v>
      </c>
      <c r="L121" s="2">
        <v>58.69</v>
      </c>
      <c r="M121" s="3">
        <v>0</v>
      </c>
      <c r="N121" s="2">
        <v>58.69</v>
      </c>
      <c r="O121" s="2">
        <v>33.64</v>
      </c>
      <c r="P121" s="2">
        <v>25.05</v>
      </c>
      <c r="Q121" t="s">
        <v>59</v>
      </c>
    </row>
    <row r="122" spans="1:17">
      <c r="A122" t="s">
        <v>213</v>
      </c>
      <c r="B122" s="1">
        <v>45979</v>
      </c>
      <c r="C122" s="1" t="str">
        <f t="shared" si="2"/>
        <v>Nov 2025</v>
      </c>
      <c r="D122" s="1">
        <f t="shared" si="3"/>
        <v>45962</v>
      </c>
      <c r="E122" t="s">
        <v>4</v>
      </c>
      <c r="F122" t="s">
        <v>49</v>
      </c>
      <c r="G122" t="s">
        <v>62</v>
      </c>
      <c r="H122" t="s">
        <v>66</v>
      </c>
      <c r="I122" t="s">
        <v>12</v>
      </c>
      <c r="J122" t="s">
        <v>112</v>
      </c>
      <c r="K122">
        <v>2</v>
      </c>
      <c r="L122" s="2">
        <v>8.0299999999999994</v>
      </c>
      <c r="M122" s="3">
        <v>0.05</v>
      </c>
      <c r="N122" s="2">
        <v>15.26</v>
      </c>
      <c r="O122" s="2">
        <v>12.19</v>
      </c>
      <c r="P122" s="2">
        <v>3.07</v>
      </c>
      <c r="Q122" t="s">
        <v>53</v>
      </c>
    </row>
    <row r="123" spans="1:17">
      <c r="A123" t="s">
        <v>214</v>
      </c>
      <c r="B123" s="1">
        <v>45816</v>
      </c>
      <c r="C123" s="1" t="str">
        <f t="shared" si="2"/>
        <v>Jun 2025</v>
      </c>
      <c r="D123" s="1">
        <f t="shared" si="3"/>
        <v>45809</v>
      </c>
      <c r="E123" t="s">
        <v>8</v>
      </c>
      <c r="F123" t="s">
        <v>90</v>
      </c>
      <c r="G123" t="s">
        <v>50</v>
      </c>
      <c r="H123" t="s">
        <v>57</v>
      </c>
      <c r="I123" t="s">
        <v>12</v>
      </c>
      <c r="J123" t="s">
        <v>138</v>
      </c>
      <c r="K123">
        <v>1</v>
      </c>
      <c r="L123" s="2">
        <v>27.47</v>
      </c>
      <c r="M123" s="3">
        <v>0.05</v>
      </c>
      <c r="N123" s="2">
        <v>26.1</v>
      </c>
      <c r="O123" s="2">
        <v>14.92</v>
      </c>
      <c r="P123" s="2">
        <v>11.18</v>
      </c>
      <c r="Q123" t="s">
        <v>53</v>
      </c>
    </row>
    <row r="124" spans="1:17">
      <c r="A124" t="s">
        <v>215</v>
      </c>
      <c r="B124" s="1">
        <v>45888</v>
      </c>
      <c r="C124" s="1" t="str">
        <f t="shared" si="2"/>
        <v>Aug 2025</v>
      </c>
      <c r="D124" s="1">
        <f t="shared" si="3"/>
        <v>45870</v>
      </c>
      <c r="E124" t="s">
        <v>7</v>
      </c>
      <c r="F124" t="s">
        <v>61</v>
      </c>
      <c r="G124" t="s">
        <v>62</v>
      </c>
      <c r="H124" t="s">
        <v>66</v>
      </c>
      <c r="I124" t="s">
        <v>10</v>
      </c>
      <c r="J124" t="s">
        <v>125</v>
      </c>
      <c r="K124">
        <v>2</v>
      </c>
      <c r="L124" s="2">
        <v>321.48</v>
      </c>
      <c r="M124" s="3">
        <v>0</v>
      </c>
      <c r="N124" s="2">
        <v>642.96</v>
      </c>
      <c r="O124" s="2">
        <v>519.07000000000005</v>
      </c>
      <c r="P124" s="2">
        <v>123.89</v>
      </c>
      <c r="Q124" t="s">
        <v>53</v>
      </c>
    </row>
    <row r="125" spans="1:17">
      <c r="A125" t="s">
        <v>216</v>
      </c>
      <c r="B125" s="1">
        <v>45916</v>
      </c>
      <c r="C125" s="1" t="str">
        <f t="shared" si="2"/>
        <v>Sep 2025</v>
      </c>
      <c r="D125" s="1">
        <f t="shared" si="3"/>
        <v>45901</v>
      </c>
      <c r="E125" t="s">
        <v>4</v>
      </c>
      <c r="F125" t="s">
        <v>49</v>
      </c>
      <c r="G125" t="s">
        <v>62</v>
      </c>
      <c r="H125" t="s">
        <v>57</v>
      </c>
      <c r="I125" t="s">
        <v>10</v>
      </c>
      <c r="J125" t="s">
        <v>125</v>
      </c>
      <c r="K125">
        <v>1</v>
      </c>
      <c r="L125" s="2">
        <v>337.82</v>
      </c>
      <c r="M125" s="3">
        <v>0.1</v>
      </c>
      <c r="N125" s="2">
        <v>304.04000000000002</v>
      </c>
      <c r="O125" s="2">
        <v>228.78</v>
      </c>
      <c r="P125" s="2">
        <v>75.260000000000005</v>
      </c>
      <c r="Q125" t="s">
        <v>59</v>
      </c>
    </row>
    <row r="126" spans="1:17">
      <c r="A126" t="s">
        <v>217</v>
      </c>
      <c r="B126" s="1">
        <v>45856</v>
      </c>
      <c r="C126" s="1" t="str">
        <f t="shared" si="2"/>
        <v>Jul 2025</v>
      </c>
      <c r="D126" s="1">
        <f t="shared" si="3"/>
        <v>45839</v>
      </c>
      <c r="E126" t="s">
        <v>8</v>
      </c>
      <c r="F126" t="s">
        <v>90</v>
      </c>
      <c r="G126" t="s">
        <v>50</v>
      </c>
      <c r="H126" t="s">
        <v>57</v>
      </c>
      <c r="I126" t="s">
        <v>12</v>
      </c>
      <c r="J126" t="s">
        <v>74</v>
      </c>
      <c r="K126">
        <v>4</v>
      </c>
      <c r="L126" s="2">
        <v>9.1199999999999992</v>
      </c>
      <c r="M126" s="3">
        <v>0.05</v>
      </c>
      <c r="N126" s="2">
        <v>34.659999999999997</v>
      </c>
      <c r="O126" s="2">
        <v>19.690000000000001</v>
      </c>
      <c r="P126" s="2">
        <v>14.97</v>
      </c>
      <c r="Q126" t="s">
        <v>59</v>
      </c>
    </row>
    <row r="127" spans="1:17">
      <c r="A127" t="s">
        <v>218</v>
      </c>
      <c r="B127" s="1">
        <v>45994</v>
      </c>
      <c r="C127" s="1" t="str">
        <f t="shared" si="2"/>
        <v>Dec 2025</v>
      </c>
      <c r="D127" s="1">
        <f t="shared" si="3"/>
        <v>45992</v>
      </c>
      <c r="E127" t="s">
        <v>6</v>
      </c>
      <c r="F127" t="s">
        <v>65</v>
      </c>
      <c r="G127" t="s">
        <v>50</v>
      </c>
      <c r="H127" t="s">
        <v>51</v>
      </c>
      <c r="I127" t="s">
        <v>10</v>
      </c>
      <c r="J127" t="s">
        <v>125</v>
      </c>
      <c r="K127">
        <v>2</v>
      </c>
      <c r="L127" s="2">
        <v>329.02</v>
      </c>
      <c r="M127" s="3">
        <v>0</v>
      </c>
      <c r="N127" s="2">
        <v>658.04</v>
      </c>
      <c r="O127" s="2">
        <v>523.16</v>
      </c>
      <c r="P127" s="2">
        <v>134.88</v>
      </c>
      <c r="Q127" t="s">
        <v>53</v>
      </c>
    </row>
    <row r="128" spans="1:17">
      <c r="A128" t="s">
        <v>219</v>
      </c>
      <c r="B128" s="1">
        <v>45816</v>
      </c>
      <c r="C128" s="1" t="str">
        <f t="shared" si="2"/>
        <v>Jun 2025</v>
      </c>
      <c r="D128" s="1">
        <f t="shared" si="3"/>
        <v>45809</v>
      </c>
      <c r="E128" t="s">
        <v>4</v>
      </c>
      <c r="F128" t="s">
        <v>49</v>
      </c>
      <c r="G128" t="s">
        <v>50</v>
      </c>
      <c r="H128" t="s">
        <v>66</v>
      </c>
      <c r="I128" t="s">
        <v>10</v>
      </c>
      <c r="J128" t="s">
        <v>67</v>
      </c>
      <c r="K128">
        <v>3</v>
      </c>
      <c r="L128" s="2">
        <v>204.18</v>
      </c>
      <c r="M128" s="3">
        <v>0</v>
      </c>
      <c r="N128" s="2">
        <v>612.54</v>
      </c>
      <c r="O128" s="2">
        <v>441.66</v>
      </c>
      <c r="P128" s="2">
        <v>170.88</v>
      </c>
      <c r="Q128" t="s">
        <v>59</v>
      </c>
    </row>
    <row r="129" spans="1:17">
      <c r="A129" t="s">
        <v>220</v>
      </c>
      <c r="B129" s="1">
        <v>45667</v>
      </c>
      <c r="C129" s="1" t="str">
        <f t="shared" si="2"/>
        <v>Jan 2025</v>
      </c>
      <c r="D129" s="1">
        <f t="shared" si="3"/>
        <v>45658</v>
      </c>
      <c r="E129" t="s">
        <v>5</v>
      </c>
      <c r="F129" t="s">
        <v>79</v>
      </c>
      <c r="G129" t="s">
        <v>85</v>
      </c>
      <c r="H129" t="s">
        <v>57</v>
      </c>
      <c r="I129" t="s">
        <v>12</v>
      </c>
      <c r="J129" t="s">
        <v>74</v>
      </c>
      <c r="K129">
        <v>1</v>
      </c>
      <c r="L129" s="2">
        <v>9.4700000000000006</v>
      </c>
      <c r="M129" s="3">
        <v>0.1</v>
      </c>
      <c r="N129" s="2">
        <v>8.52</v>
      </c>
      <c r="O129" s="2">
        <v>5.47</v>
      </c>
      <c r="P129" s="2">
        <v>3.05</v>
      </c>
      <c r="Q129" t="s">
        <v>53</v>
      </c>
    </row>
    <row r="130" spans="1:17">
      <c r="A130" t="s">
        <v>221</v>
      </c>
      <c r="B130" s="1">
        <v>45917</v>
      </c>
      <c r="C130" s="1" t="str">
        <f t="shared" ref="C130:C193" si="4">TEXT(D130,"mmm yyyy")</f>
        <v>Sep 2025</v>
      </c>
      <c r="D130" s="1">
        <f t="shared" ref="D130:D193" si="5">DATE(YEAR(B130),MONTH(B130),1)</f>
        <v>45901</v>
      </c>
      <c r="E130" t="s">
        <v>7</v>
      </c>
      <c r="F130" t="s">
        <v>61</v>
      </c>
      <c r="G130" t="s">
        <v>83</v>
      </c>
      <c r="H130" t="s">
        <v>51</v>
      </c>
      <c r="I130" t="s">
        <v>10</v>
      </c>
      <c r="J130" t="s">
        <v>102</v>
      </c>
      <c r="K130">
        <v>1</v>
      </c>
      <c r="L130" s="2">
        <v>38.96</v>
      </c>
      <c r="M130" s="3">
        <v>0.15</v>
      </c>
      <c r="N130" s="2">
        <v>33.119999999999997</v>
      </c>
      <c r="O130" s="2">
        <v>21.79</v>
      </c>
      <c r="P130" s="2">
        <v>11.33</v>
      </c>
      <c r="Q130" t="s">
        <v>68</v>
      </c>
    </row>
    <row r="131" spans="1:17">
      <c r="A131" t="s">
        <v>222</v>
      </c>
      <c r="B131" s="1">
        <v>45882</v>
      </c>
      <c r="C131" s="1" t="str">
        <f t="shared" si="4"/>
        <v>Aug 2025</v>
      </c>
      <c r="D131" s="1">
        <f t="shared" si="5"/>
        <v>45870</v>
      </c>
      <c r="E131" t="s">
        <v>7</v>
      </c>
      <c r="F131" t="s">
        <v>61</v>
      </c>
      <c r="G131" t="s">
        <v>56</v>
      </c>
      <c r="H131" t="s">
        <v>57</v>
      </c>
      <c r="I131" t="s">
        <v>11</v>
      </c>
      <c r="J131" t="s">
        <v>63</v>
      </c>
      <c r="K131">
        <v>2</v>
      </c>
      <c r="L131" s="2">
        <v>84.66</v>
      </c>
      <c r="M131" s="3">
        <v>0.1</v>
      </c>
      <c r="N131" s="2">
        <v>152.38999999999999</v>
      </c>
      <c r="O131" s="2">
        <v>119.06</v>
      </c>
      <c r="P131" s="2">
        <v>33.33</v>
      </c>
      <c r="Q131" t="s">
        <v>75</v>
      </c>
    </row>
    <row r="132" spans="1:17">
      <c r="A132" t="s">
        <v>223</v>
      </c>
      <c r="B132" s="1">
        <v>45757</v>
      </c>
      <c r="C132" s="1" t="str">
        <f t="shared" si="4"/>
        <v>Apr 2025</v>
      </c>
      <c r="D132" s="1">
        <f t="shared" si="5"/>
        <v>45748</v>
      </c>
      <c r="E132" t="s">
        <v>4</v>
      </c>
      <c r="F132" t="s">
        <v>104</v>
      </c>
      <c r="G132" t="s">
        <v>50</v>
      </c>
      <c r="H132" t="s">
        <v>51</v>
      </c>
      <c r="I132" t="s">
        <v>12</v>
      </c>
      <c r="J132" t="s">
        <v>77</v>
      </c>
      <c r="K132">
        <v>10</v>
      </c>
      <c r="L132" s="2">
        <v>15.02</v>
      </c>
      <c r="M132" s="3">
        <v>0.05</v>
      </c>
      <c r="N132" s="2">
        <v>142.69</v>
      </c>
      <c r="O132" s="2">
        <v>113.17</v>
      </c>
      <c r="P132" s="2">
        <v>29.52</v>
      </c>
      <c r="Q132" t="s">
        <v>68</v>
      </c>
    </row>
    <row r="133" spans="1:17">
      <c r="A133" t="s">
        <v>224</v>
      </c>
      <c r="B133" s="1">
        <v>45967</v>
      </c>
      <c r="C133" s="1" t="str">
        <f t="shared" si="4"/>
        <v>Nov 2025</v>
      </c>
      <c r="D133" s="1">
        <f t="shared" si="5"/>
        <v>45962</v>
      </c>
      <c r="E133" t="s">
        <v>8</v>
      </c>
      <c r="F133" t="s">
        <v>90</v>
      </c>
      <c r="G133" t="s">
        <v>85</v>
      </c>
      <c r="H133" t="s">
        <v>57</v>
      </c>
      <c r="I133" t="s">
        <v>11</v>
      </c>
      <c r="J133" t="s">
        <v>115</v>
      </c>
      <c r="K133">
        <v>1</v>
      </c>
      <c r="L133" s="2">
        <v>221.26</v>
      </c>
      <c r="M133" s="3">
        <v>0.05</v>
      </c>
      <c r="N133" s="2">
        <v>210.2</v>
      </c>
      <c r="O133" s="2">
        <v>151.86000000000001</v>
      </c>
      <c r="P133" s="2">
        <v>58.34</v>
      </c>
      <c r="Q133" t="s">
        <v>53</v>
      </c>
    </row>
    <row r="134" spans="1:17">
      <c r="A134" t="s">
        <v>225</v>
      </c>
      <c r="B134" s="1">
        <v>45740</v>
      </c>
      <c r="C134" s="1" t="str">
        <f t="shared" si="4"/>
        <v>Mar 2025</v>
      </c>
      <c r="D134" s="1">
        <f t="shared" si="5"/>
        <v>45717</v>
      </c>
      <c r="E134" t="s">
        <v>5</v>
      </c>
      <c r="F134" t="s">
        <v>97</v>
      </c>
      <c r="G134" t="s">
        <v>62</v>
      </c>
      <c r="H134" t="s">
        <v>51</v>
      </c>
      <c r="I134" t="s">
        <v>12</v>
      </c>
      <c r="J134" t="s">
        <v>138</v>
      </c>
      <c r="K134">
        <v>6</v>
      </c>
      <c r="L134" s="2">
        <v>26.11</v>
      </c>
      <c r="M134" s="3">
        <v>0.1</v>
      </c>
      <c r="N134" s="2">
        <v>140.99</v>
      </c>
      <c r="O134" s="2">
        <v>85.77</v>
      </c>
      <c r="P134" s="2">
        <v>55.22</v>
      </c>
      <c r="Q134" t="s">
        <v>75</v>
      </c>
    </row>
    <row r="135" spans="1:17">
      <c r="A135" t="s">
        <v>226</v>
      </c>
      <c r="B135" s="1">
        <v>45685</v>
      </c>
      <c r="C135" s="1" t="str">
        <f t="shared" si="4"/>
        <v>Jan 2025</v>
      </c>
      <c r="D135" s="1">
        <f t="shared" si="5"/>
        <v>45658</v>
      </c>
      <c r="E135" t="s">
        <v>8</v>
      </c>
      <c r="F135" t="s">
        <v>70</v>
      </c>
      <c r="G135" t="s">
        <v>85</v>
      </c>
      <c r="H135" t="s">
        <v>66</v>
      </c>
      <c r="I135" t="s">
        <v>12</v>
      </c>
      <c r="J135" t="s">
        <v>77</v>
      </c>
      <c r="K135">
        <v>2</v>
      </c>
      <c r="L135" s="2">
        <v>14.77</v>
      </c>
      <c r="M135" s="3">
        <v>0</v>
      </c>
      <c r="N135" s="2">
        <v>29.54</v>
      </c>
      <c r="O135" s="2">
        <v>18.68</v>
      </c>
      <c r="P135" s="2">
        <v>10.86</v>
      </c>
      <c r="Q135" t="s">
        <v>59</v>
      </c>
    </row>
    <row r="136" spans="1:17">
      <c r="A136" t="s">
        <v>227</v>
      </c>
      <c r="B136" s="1">
        <v>45732</v>
      </c>
      <c r="C136" s="1" t="str">
        <f t="shared" si="4"/>
        <v>Mar 2025</v>
      </c>
      <c r="D136" s="1">
        <f t="shared" si="5"/>
        <v>45717</v>
      </c>
      <c r="E136" t="s">
        <v>7</v>
      </c>
      <c r="F136" t="s">
        <v>101</v>
      </c>
      <c r="G136" t="s">
        <v>94</v>
      </c>
      <c r="H136" t="s">
        <v>51</v>
      </c>
      <c r="I136" t="s">
        <v>11</v>
      </c>
      <c r="J136" t="s">
        <v>52</v>
      </c>
      <c r="K136">
        <v>2</v>
      </c>
      <c r="L136" s="2">
        <v>27.06</v>
      </c>
      <c r="M136" s="3">
        <v>0</v>
      </c>
      <c r="N136" s="2">
        <v>54.12</v>
      </c>
      <c r="O136" s="2">
        <v>40.46</v>
      </c>
      <c r="P136" s="2">
        <v>13.66</v>
      </c>
      <c r="Q136" t="s">
        <v>53</v>
      </c>
    </row>
    <row r="137" spans="1:17">
      <c r="A137" t="s">
        <v>228</v>
      </c>
      <c r="B137" s="1">
        <v>45789</v>
      </c>
      <c r="C137" s="1" t="str">
        <f t="shared" si="4"/>
        <v>May 2025</v>
      </c>
      <c r="D137" s="1">
        <f t="shared" si="5"/>
        <v>45778</v>
      </c>
      <c r="E137" t="s">
        <v>6</v>
      </c>
      <c r="F137" t="s">
        <v>109</v>
      </c>
      <c r="G137" t="s">
        <v>71</v>
      </c>
      <c r="H137" t="s">
        <v>51</v>
      </c>
      <c r="I137" t="s">
        <v>11</v>
      </c>
      <c r="J137" t="s">
        <v>58</v>
      </c>
      <c r="K137">
        <v>3</v>
      </c>
      <c r="L137" s="2">
        <v>47.7</v>
      </c>
      <c r="M137" s="3">
        <v>0.15</v>
      </c>
      <c r="N137" s="2">
        <v>121.64</v>
      </c>
      <c r="O137" s="2">
        <v>92.58</v>
      </c>
      <c r="P137" s="2">
        <v>29.06</v>
      </c>
      <c r="Q137" t="s">
        <v>53</v>
      </c>
    </row>
    <row r="138" spans="1:17">
      <c r="A138" t="s">
        <v>229</v>
      </c>
      <c r="B138" s="1">
        <v>45780</v>
      </c>
      <c r="C138" s="1" t="str">
        <f t="shared" si="4"/>
        <v>May 2025</v>
      </c>
      <c r="D138" s="1">
        <f t="shared" si="5"/>
        <v>45778</v>
      </c>
      <c r="E138" t="s">
        <v>8</v>
      </c>
      <c r="F138" t="s">
        <v>90</v>
      </c>
      <c r="G138" t="s">
        <v>56</v>
      </c>
      <c r="H138" t="s">
        <v>66</v>
      </c>
      <c r="I138" t="s">
        <v>12</v>
      </c>
      <c r="J138" t="s">
        <v>77</v>
      </c>
      <c r="K138">
        <v>2</v>
      </c>
      <c r="L138" s="2">
        <v>13.87</v>
      </c>
      <c r="M138" s="3">
        <v>0.1</v>
      </c>
      <c r="N138" s="2">
        <v>24.97</v>
      </c>
      <c r="O138" s="2">
        <v>19.39</v>
      </c>
      <c r="P138" s="2">
        <v>5.58</v>
      </c>
      <c r="Q138" t="s">
        <v>68</v>
      </c>
    </row>
    <row r="139" spans="1:17">
      <c r="A139" t="s">
        <v>230</v>
      </c>
      <c r="B139" s="1">
        <v>45807</v>
      </c>
      <c r="C139" s="1" t="str">
        <f t="shared" si="4"/>
        <v>May 2025</v>
      </c>
      <c r="D139" s="1">
        <f t="shared" si="5"/>
        <v>45778</v>
      </c>
      <c r="E139" t="s">
        <v>8</v>
      </c>
      <c r="F139" t="s">
        <v>90</v>
      </c>
      <c r="G139" t="s">
        <v>62</v>
      </c>
      <c r="H139" t="s">
        <v>51</v>
      </c>
      <c r="I139" t="s">
        <v>12</v>
      </c>
      <c r="J139" t="s">
        <v>87</v>
      </c>
      <c r="K139">
        <v>3</v>
      </c>
      <c r="L139" s="2">
        <v>11.44</v>
      </c>
      <c r="M139" s="3">
        <v>0.1</v>
      </c>
      <c r="N139" s="2">
        <v>30.89</v>
      </c>
      <c r="O139" s="2">
        <v>19.77</v>
      </c>
      <c r="P139" s="2">
        <v>11.12</v>
      </c>
      <c r="Q139" t="s">
        <v>53</v>
      </c>
    </row>
    <row r="140" spans="1:17">
      <c r="A140" t="s">
        <v>231</v>
      </c>
      <c r="B140" s="1">
        <v>45857</v>
      </c>
      <c r="C140" s="1" t="str">
        <f t="shared" si="4"/>
        <v>Jul 2025</v>
      </c>
      <c r="D140" s="1">
        <f t="shared" si="5"/>
        <v>45839</v>
      </c>
      <c r="E140" t="s">
        <v>6</v>
      </c>
      <c r="F140" t="s">
        <v>109</v>
      </c>
      <c r="G140" t="s">
        <v>62</v>
      </c>
      <c r="H140" t="s">
        <v>51</v>
      </c>
      <c r="I140" t="s">
        <v>12</v>
      </c>
      <c r="J140" t="s">
        <v>87</v>
      </c>
      <c r="K140">
        <v>3</v>
      </c>
      <c r="L140" s="2">
        <v>13.39</v>
      </c>
      <c r="M140" s="3">
        <v>0.05</v>
      </c>
      <c r="N140" s="2">
        <v>38.159999999999997</v>
      </c>
      <c r="O140" s="2">
        <v>29.89</v>
      </c>
      <c r="P140" s="2">
        <v>8.27</v>
      </c>
      <c r="Q140" t="s">
        <v>53</v>
      </c>
    </row>
    <row r="141" spans="1:17">
      <c r="A141" t="s">
        <v>232</v>
      </c>
      <c r="B141" s="1">
        <v>45955</v>
      </c>
      <c r="C141" s="1" t="str">
        <f t="shared" si="4"/>
        <v>Oct 2025</v>
      </c>
      <c r="D141" s="1">
        <f t="shared" si="5"/>
        <v>45931</v>
      </c>
      <c r="E141" t="s">
        <v>5</v>
      </c>
      <c r="F141" t="s">
        <v>73</v>
      </c>
      <c r="G141" t="s">
        <v>91</v>
      </c>
      <c r="H141" t="s">
        <v>66</v>
      </c>
      <c r="I141" t="s">
        <v>10</v>
      </c>
      <c r="J141" t="s">
        <v>80</v>
      </c>
      <c r="K141">
        <v>1</v>
      </c>
      <c r="L141" s="2">
        <v>146.63</v>
      </c>
      <c r="M141" s="3">
        <v>0.05</v>
      </c>
      <c r="N141" s="2">
        <v>139.30000000000001</v>
      </c>
      <c r="O141" s="2">
        <v>112.03</v>
      </c>
      <c r="P141" s="2">
        <v>27.27</v>
      </c>
      <c r="Q141" t="s">
        <v>75</v>
      </c>
    </row>
    <row r="142" spans="1:17">
      <c r="A142" t="s">
        <v>233</v>
      </c>
      <c r="B142" s="1">
        <v>45981</v>
      </c>
      <c r="C142" s="1" t="str">
        <f t="shared" si="4"/>
        <v>Nov 2025</v>
      </c>
      <c r="D142" s="1">
        <f t="shared" si="5"/>
        <v>45962</v>
      </c>
      <c r="E142" t="s">
        <v>5</v>
      </c>
      <c r="F142" t="s">
        <v>79</v>
      </c>
      <c r="G142" t="s">
        <v>56</v>
      </c>
      <c r="H142" t="s">
        <v>51</v>
      </c>
      <c r="I142" t="s">
        <v>11</v>
      </c>
      <c r="J142" t="s">
        <v>58</v>
      </c>
      <c r="K142">
        <v>1</v>
      </c>
      <c r="L142" s="2">
        <v>48.18</v>
      </c>
      <c r="M142" s="3">
        <v>0.1</v>
      </c>
      <c r="N142" s="2">
        <v>43.36</v>
      </c>
      <c r="O142" s="2">
        <v>25.59</v>
      </c>
      <c r="P142" s="2">
        <v>17.77</v>
      </c>
      <c r="Q142" t="s">
        <v>59</v>
      </c>
    </row>
    <row r="143" spans="1:17">
      <c r="A143" t="s">
        <v>234</v>
      </c>
      <c r="B143" s="1">
        <v>45816</v>
      </c>
      <c r="C143" s="1" t="str">
        <f t="shared" si="4"/>
        <v>Jun 2025</v>
      </c>
      <c r="D143" s="1">
        <f t="shared" si="5"/>
        <v>45809</v>
      </c>
      <c r="E143" t="s">
        <v>5</v>
      </c>
      <c r="F143" t="s">
        <v>97</v>
      </c>
      <c r="G143" t="s">
        <v>62</v>
      </c>
      <c r="H143" t="s">
        <v>51</v>
      </c>
      <c r="I143" t="s">
        <v>10</v>
      </c>
      <c r="J143" t="s">
        <v>67</v>
      </c>
      <c r="K143">
        <v>10</v>
      </c>
      <c r="L143" s="2">
        <v>214.09</v>
      </c>
      <c r="M143" s="3">
        <v>0.05</v>
      </c>
      <c r="N143" s="2">
        <v>2033.86</v>
      </c>
      <c r="O143" s="2">
        <v>1136.79</v>
      </c>
      <c r="P143" s="2">
        <v>897.07</v>
      </c>
      <c r="Q143" t="s">
        <v>59</v>
      </c>
    </row>
    <row r="144" spans="1:17">
      <c r="A144" t="s">
        <v>235</v>
      </c>
      <c r="B144" s="1">
        <v>45797</v>
      </c>
      <c r="C144" s="1" t="str">
        <f t="shared" si="4"/>
        <v>May 2025</v>
      </c>
      <c r="D144" s="1">
        <f t="shared" si="5"/>
        <v>45778</v>
      </c>
      <c r="E144" t="s">
        <v>7</v>
      </c>
      <c r="F144" t="s">
        <v>101</v>
      </c>
      <c r="G144" t="s">
        <v>83</v>
      </c>
      <c r="H144" t="s">
        <v>57</v>
      </c>
      <c r="I144" t="s">
        <v>11</v>
      </c>
      <c r="J144" t="s">
        <v>115</v>
      </c>
      <c r="K144">
        <v>2</v>
      </c>
      <c r="L144" s="2">
        <v>217.36</v>
      </c>
      <c r="M144" s="3">
        <v>0.1</v>
      </c>
      <c r="N144" s="2">
        <v>391.25</v>
      </c>
      <c r="O144" s="2">
        <v>342.73</v>
      </c>
      <c r="P144" s="2">
        <v>48.52</v>
      </c>
      <c r="Q144" t="s">
        <v>75</v>
      </c>
    </row>
    <row r="145" spans="1:17">
      <c r="A145" t="s">
        <v>236</v>
      </c>
      <c r="B145" s="1">
        <v>45846</v>
      </c>
      <c r="C145" s="1" t="str">
        <f t="shared" si="4"/>
        <v>Jul 2025</v>
      </c>
      <c r="D145" s="1">
        <f t="shared" si="5"/>
        <v>45839</v>
      </c>
      <c r="E145" t="s">
        <v>5</v>
      </c>
      <c r="F145" t="s">
        <v>73</v>
      </c>
      <c r="G145" t="s">
        <v>71</v>
      </c>
      <c r="H145" t="s">
        <v>57</v>
      </c>
      <c r="I145" t="s">
        <v>10</v>
      </c>
      <c r="J145" t="s">
        <v>80</v>
      </c>
      <c r="K145">
        <v>5</v>
      </c>
      <c r="L145" s="2">
        <v>158.99</v>
      </c>
      <c r="M145" s="3">
        <v>0</v>
      </c>
      <c r="N145" s="2">
        <v>794.95</v>
      </c>
      <c r="O145" s="2">
        <v>516.07000000000005</v>
      </c>
      <c r="P145" s="2">
        <v>278.88</v>
      </c>
      <c r="Q145" t="s">
        <v>53</v>
      </c>
    </row>
    <row r="146" spans="1:17">
      <c r="A146" t="s">
        <v>237</v>
      </c>
      <c r="B146" s="1">
        <v>45698</v>
      </c>
      <c r="C146" s="1" t="str">
        <f t="shared" si="4"/>
        <v>Feb 2025</v>
      </c>
      <c r="D146" s="1">
        <f t="shared" si="5"/>
        <v>45689</v>
      </c>
      <c r="E146" t="s">
        <v>7</v>
      </c>
      <c r="F146" t="s">
        <v>101</v>
      </c>
      <c r="G146" t="s">
        <v>91</v>
      </c>
      <c r="H146" t="s">
        <v>51</v>
      </c>
      <c r="I146" t="s">
        <v>12</v>
      </c>
      <c r="J146" t="s">
        <v>74</v>
      </c>
      <c r="K146">
        <v>2</v>
      </c>
      <c r="L146" s="2">
        <v>10.33</v>
      </c>
      <c r="M146" s="3">
        <v>0.1</v>
      </c>
      <c r="N146" s="2">
        <v>18.59</v>
      </c>
      <c r="O146" s="2">
        <v>11.78</v>
      </c>
      <c r="P146" s="2">
        <v>6.81</v>
      </c>
      <c r="Q146" t="s">
        <v>59</v>
      </c>
    </row>
    <row r="147" spans="1:17">
      <c r="A147" t="s">
        <v>238</v>
      </c>
      <c r="B147" s="1">
        <v>45972</v>
      </c>
      <c r="C147" s="1" t="str">
        <f t="shared" si="4"/>
        <v>Nov 2025</v>
      </c>
      <c r="D147" s="1">
        <f t="shared" si="5"/>
        <v>45962</v>
      </c>
      <c r="E147" t="s">
        <v>7</v>
      </c>
      <c r="F147" t="s">
        <v>101</v>
      </c>
      <c r="G147" t="s">
        <v>83</v>
      </c>
      <c r="H147" t="s">
        <v>51</v>
      </c>
      <c r="I147" t="s">
        <v>12</v>
      </c>
      <c r="J147" t="s">
        <v>74</v>
      </c>
      <c r="K147">
        <v>3</v>
      </c>
      <c r="L147" s="2">
        <v>10.74</v>
      </c>
      <c r="M147" s="3">
        <v>0</v>
      </c>
      <c r="N147" s="2">
        <v>32.22</v>
      </c>
      <c r="O147" s="2">
        <v>17.48</v>
      </c>
      <c r="P147" s="2">
        <v>14.74</v>
      </c>
      <c r="Q147" t="s">
        <v>68</v>
      </c>
    </row>
    <row r="148" spans="1:17">
      <c r="A148" t="s">
        <v>239</v>
      </c>
      <c r="B148" s="1">
        <v>45969</v>
      </c>
      <c r="C148" s="1" t="str">
        <f t="shared" si="4"/>
        <v>Nov 2025</v>
      </c>
      <c r="D148" s="1">
        <f t="shared" si="5"/>
        <v>45962</v>
      </c>
      <c r="E148" t="s">
        <v>4</v>
      </c>
      <c r="F148" t="s">
        <v>49</v>
      </c>
      <c r="G148" t="s">
        <v>83</v>
      </c>
      <c r="H148" t="s">
        <v>66</v>
      </c>
      <c r="I148" t="s">
        <v>10</v>
      </c>
      <c r="J148" t="s">
        <v>67</v>
      </c>
      <c r="K148">
        <v>1</v>
      </c>
      <c r="L148" s="2">
        <v>192.11</v>
      </c>
      <c r="M148" s="3">
        <v>0.05</v>
      </c>
      <c r="N148" s="2">
        <v>182.5</v>
      </c>
      <c r="O148" s="2">
        <v>120.77</v>
      </c>
      <c r="P148" s="2">
        <v>61.73</v>
      </c>
      <c r="Q148" t="s">
        <v>75</v>
      </c>
    </row>
    <row r="149" spans="1:17">
      <c r="A149" t="s">
        <v>240</v>
      </c>
      <c r="B149" s="1">
        <v>45847</v>
      </c>
      <c r="C149" s="1" t="str">
        <f t="shared" si="4"/>
        <v>Jul 2025</v>
      </c>
      <c r="D149" s="1">
        <f t="shared" si="5"/>
        <v>45839</v>
      </c>
      <c r="E149" t="s">
        <v>6</v>
      </c>
      <c r="F149" t="s">
        <v>65</v>
      </c>
      <c r="G149" t="s">
        <v>71</v>
      </c>
      <c r="H149" t="s">
        <v>51</v>
      </c>
      <c r="I149" t="s">
        <v>12</v>
      </c>
      <c r="J149" t="s">
        <v>138</v>
      </c>
      <c r="K149">
        <v>4</v>
      </c>
      <c r="L149" s="2">
        <v>28.74</v>
      </c>
      <c r="M149" s="3">
        <v>0.15</v>
      </c>
      <c r="N149" s="2">
        <v>97.72</v>
      </c>
      <c r="O149" s="2">
        <v>72.430000000000007</v>
      </c>
      <c r="P149" s="2">
        <v>25.29</v>
      </c>
      <c r="Q149" t="s">
        <v>53</v>
      </c>
    </row>
    <row r="150" spans="1:17">
      <c r="A150" t="s">
        <v>241</v>
      </c>
      <c r="B150" s="1">
        <v>45671</v>
      </c>
      <c r="C150" s="1" t="str">
        <f t="shared" si="4"/>
        <v>Jan 2025</v>
      </c>
      <c r="D150" s="1">
        <f t="shared" si="5"/>
        <v>45658</v>
      </c>
      <c r="E150" t="s">
        <v>6</v>
      </c>
      <c r="F150" t="s">
        <v>65</v>
      </c>
      <c r="G150" t="s">
        <v>91</v>
      </c>
      <c r="H150" t="s">
        <v>51</v>
      </c>
      <c r="I150" t="s">
        <v>10</v>
      </c>
      <c r="J150" t="s">
        <v>125</v>
      </c>
      <c r="K150">
        <v>3</v>
      </c>
      <c r="L150" s="2">
        <v>315.24</v>
      </c>
      <c r="M150" s="3">
        <v>0.15</v>
      </c>
      <c r="N150" s="2">
        <v>803.86</v>
      </c>
      <c r="O150" s="2">
        <v>525.19000000000005</v>
      </c>
      <c r="P150" s="2">
        <v>278.67</v>
      </c>
      <c r="Q150" t="s">
        <v>59</v>
      </c>
    </row>
    <row r="151" spans="1:17">
      <c r="A151" t="s">
        <v>242</v>
      </c>
      <c r="B151" s="1">
        <v>46013</v>
      </c>
      <c r="C151" s="1" t="str">
        <f t="shared" si="4"/>
        <v>Dec 2025</v>
      </c>
      <c r="D151" s="1">
        <f t="shared" si="5"/>
        <v>45992</v>
      </c>
      <c r="E151" t="s">
        <v>7</v>
      </c>
      <c r="F151" t="s">
        <v>61</v>
      </c>
      <c r="G151" t="s">
        <v>62</v>
      </c>
      <c r="H151" t="s">
        <v>66</v>
      </c>
      <c r="I151" t="s">
        <v>12</v>
      </c>
      <c r="J151" t="s">
        <v>112</v>
      </c>
      <c r="K151">
        <v>1</v>
      </c>
      <c r="L151" s="2">
        <v>8.6999999999999993</v>
      </c>
      <c r="M151" s="3">
        <v>0.1</v>
      </c>
      <c r="N151" s="2">
        <v>7.83</v>
      </c>
      <c r="O151" s="2">
        <v>4.97</v>
      </c>
      <c r="P151" s="2">
        <v>2.86</v>
      </c>
      <c r="Q151" t="s">
        <v>59</v>
      </c>
    </row>
    <row r="152" spans="1:17">
      <c r="A152" t="s">
        <v>243</v>
      </c>
      <c r="B152" s="1">
        <v>46021</v>
      </c>
      <c r="C152" s="1" t="str">
        <f t="shared" si="4"/>
        <v>Dec 2025</v>
      </c>
      <c r="D152" s="1">
        <f t="shared" si="5"/>
        <v>45992</v>
      </c>
      <c r="E152" t="s">
        <v>5</v>
      </c>
      <c r="F152" t="s">
        <v>97</v>
      </c>
      <c r="G152" t="s">
        <v>56</v>
      </c>
      <c r="H152" t="s">
        <v>51</v>
      </c>
      <c r="I152" t="s">
        <v>11</v>
      </c>
      <c r="J152" t="s">
        <v>107</v>
      </c>
      <c r="K152">
        <v>3</v>
      </c>
      <c r="L152" s="2">
        <v>60.29</v>
      </c>
      <c r="M152" s="3">
        <v>0</v>
      </c>
      <c r="N152" s="2">
        <v>180.87</v>
      </c>
      <c r="O152" s="2">
        <v>132.68</v>
      </c>
      <c r="P152" s="2">
        <v>48.19</v>
      </c>
      <c r="Q152" t="s">
        <v>68</v>
      </c>
    </row>
    <row r="153" spans="1:17">
      <c r="A153" t="s">
        <v>244</v>
      </c>
      <c r="B153" s="1">
        <v>45729</v>
      </c>
      <c r="C153" s="1" t="str">
        <f t="shared" si="4"/>
        <v>Mar 2025</v>
      </c>
      <c r="D153" s="1">
        <f t="shared" si="5"/>
        <v>45717</v>
      </c>
      <c r="E153" t="s">
        <v>4</v>
      </c>
      <c r="F153" t="s">
        <v>49</v>
      </c>
      <c r="G153" t="s">
        <v>85</v>
      </c>
      <c r="H153" t="s">
        <v>51</v>
      </c>
      <c r="I153" t="s">
        <v>11</v>
      </c>
      <c r="J153" t="s">
        <v>63</v>
      </c>
      <c r="K153">
        <v>1</v>
      </c>
      <c r="L153" s="2">
        <v>81.75</v>
      </c>
      <c r="M153" s="3">
        <v>0.05</v>
      </c>
      <c r="N153" s="2">
        <v>77.66</v>
      </c>
      <c r="O153" s="2">
        <v>53.97</v>
      </c>
      <c r="P153" s="2">
        <v>23.69</v>
      </c>
      <c r="Q153" t="s">
        <v>59</v>
      </c>
    </row>
    <row r="154" spans="1:17">
      <c r="A154" t="s">
        <v>245</v>
      </c>
      <c r="B154" s="1">
        <v>45861</v>
      </c>
      <c r="C154" s="1" t="str">
        <f t="shared" si="4"/>
        <v>Jul 2025</v>
      </c>
      <c r="D154" s="1">
        <f t="shared" si="5"/>
        <v>45839</v>
      </c>
      <c r="E154" t="s">
        <v>6</v>
      </c>
      <c r="F154" t="s">
        <v>65</v>
      </c>
      <c r="G154" t="s">
        <v>85</v>
      </c>
      <c r="H154" t="s">
        <v>57</v>
      </c>
      <c r="I154" t="s">
        <v>10</v>
      </c>
      <c r="J154" t="s">
        <v>67</v>
      </c>
      <c r="K154">
        <v>3</v>
      </c>
      <c r="L154" s="2">
        <v>224.54</v>
      </c>
      <c r="M154" s="3">
        <v>0.15</v>
      </c>
      <c r="N154" s="2">
        <v>572.58000000000004</v>
      </c>
      <c r="O154" s="2">
        <v>365.19</v>
      </c>
      <c r="P154" s="2">
        <v>207.39</v>
      </c>
      <c r="Q154" t="s">
        <v>75</v>
      </c>
    </row>
    <row r="155" spans="1:17">
      <c r="A155" t="s">
        <v>246</v>
      </c>
      <c r="B155" s="1">
        <v>46006</v>
      </c>
      <c r="C155" s="1" t="str">
        <f t="shared" si="4"/>
        <v>Dec 2025</v>
      </c>
      <c r="D155" s="1">
        <f t="shared" si="5"/>
        <v>45992</v>
      </c>
      <c r="E155" t="s">
        <v>5</v>
      </c>
      <c r="F155" t="s">
        <v>79</v>
      </c>
      <c r="G155" t="s">
        <v>50</v>
      </c>
      <c r="H155" t="s">
        <v>66</v>
      </c>
      <c r="I155" t="s">
        <v>10</v>
      </c>
      <c r="J155" t="s">
        <v>80</v>
      </c>
      <c r="K155">
        <v>1</v>
      </c>
      <c r="L155" s="2">
        <v>162.36000000000001</v>
      </c>
      <c r="M155" s="3">
        <v>0.15</v>
      </c>
      <c r="N155" s="2">
        <v>138.01</v>
      </c>
      <c r="O155" s="2">
        <v>115.59</v>
      </c>
      <c r="P155" s="2">
        <v>22.42</v>
      </c>
      <c r="Q155" t="s">
        <v>53</v>
      </c>
    </row>
    <row r="156" spans="1:17">
      <c r="A156" t="s">
        <v>247</v>
      </c>
      <c r="B156" s="1">
        <v>45721</v>
      </c>
      <c r="C156" s="1" t="str">
        <f t="shared" si="4"/>
        <v>Mar 2025</v>
      </c>
      <c r="D156" s="1">
        <f t="shared" si="5"/>
        <v>45717</v>
      </c>
      <c r="E156" t="s">
        <v>4</v>
      </c>
      <c r="F156" t="s">
        <v>55</v>
      </c>
      <c r="G156" t="s">
        <v>85</v>
      </c>
      <c r="H156" t="s">
        <v>57</v>
      </c>
      <c r="I156" t="s">
        <v>10</v>
      </c>
      <c r="J156" t="s">
        <v>125</v>
      </c>
      <c r="K156">
        <v>2</v>
      </c>
      <c r="L156" s="2">
        <v>299.39999999999998</v>
      </c>
      <c r="M156" s="3">
        <v>0</v>
      </c>
      <c r="N156" s="2">
        <v>598.79999999999995</v>
      </c>
      <c r="O156" s="2">
        <v>373.54</v>
      </c>
      <c r="P156" s="2">
        <v>225.26</v>
      </c>
      <c r="Q156" t="s">
        <v>68</v>
      </c>
    </row>
    <row r="157" spans="1:17">
      <c r="A157" t="s">
        <v>248</v>
      </c>
      <c r="B157" s="1">
        <v>45983</v>
      </c>
      <c r="C157" s="1" t="str">
        <f t="shared" si="4"/>
        <v>Nov 2025</v>
      </c>
      <c r="D157" s="1">
        <f t="shared" si="5"/>
        <v>45962</v>
      </c>
      <c r="E157" t="s">
        <v>5</v>
      </c>
      <c r="F157" t="s">
        <v>73</v>
      </c>
      <c r="G157" t="s">
        <v>83</v>
      </c>
      <c r="H157" t="s">
        <v>51</v>
      </c>
      <c r="I157" t="s">
        <v>10</v>
      </c>
      <c r="J157" t="s">
        <v>80</v>
      </c>
      <c r="K157">
        <v>1</v>
      </c>
      <c r="L157" s="2">
        <v>144.99</v>
      </c>
      <c r="M157" s="3">
        <v>0.15</v>
      </c>
      <c r="N157" s="2">
        <v>123.24</v>
      </c>
      <c r="O157" s="2">
        <v>79.459999999999994</v>
      </c>
      <c r="P157" s="2">
        <v>43.78</v>
      </c>
      <c r="Q157" t="s">
        <v>59</v>
      </c>
    </row>
    <row r="158" spans="1:17">
      <c r="A158" t="s">
        <v>249</v>
      </c>
      <c r="B158" s="1">
        <v>45946</v>
      </c>
      <c r="C158" s="1" t="str">
        <f t="shared" si="4"/>
        <v>Oct 2025</v>
      </c>
      <c r="D158" s="1">
        <f t="shared" si="5"/>
        <v>45931</v>
      </c>
      <c r="E158" t="s">
        <v>5</v>
      </c>
      <c r="F158" t="s">
        <v>73</v>
      </c>
      <c r="G158" t="s">
        <v>50</v>
      </c>
      <c r="H158" t="s">
        <v>66</v>
      </c>
      <c r="I158" t="s">
        <v>11</v>
      </c>
      <c r="J158" t="s">
        <v>52</v>
      </c>
      <c r="K158">
        <v>1</v>
      </c>
      <c r="L158" s="2">
        <v>27.72</v>
      </c>
      <c r="M158" s="3">
        <v>0.15</v>
      </c>
      <c r="N158" s="2">
        <v>23.56</v>
      </c>
      <c r="O158" s="2">
        <v>16.62</v>
      </c>
      <c r="P158" s="2">
        <v>6.94</v>
      </c>
      <c r="Q158" t="s">
        <v>53</v>
      </c>
    </row>
    <row r="159" spans="1:17">
      <c r="A159" t="s">
        <v>250</v>
      </c>
      <c r="B159" s="1">
        <v>45912</v>
      </c>
      <c r="C159" s="1" t="str">
        <f t="shared" si="4"/>
        <v>Sep 2025</v>
      </c>
      <c r="D159" s="1">
        <f t="shared" si="5"/>
        <v>45901</v>
      </c>
      <c r="E159" t="s">
        <v>7</v>
      </c>
      <c r="F159" t="s">
        <v>101</v>
      </c>
      <c r="G159" t="s">
        <v>91</v>
      </c>
      <c r="H159" t="s">
        <v>51</v>
      </c>
      <c r="I159" t="s">
        <v>10</v>
      </c>
      <c r="J159" t="s">
        <v>102</v>
      </c>
      <c r="K159">
        <v>2</v>
      </c>
      <c r="L159" s="2">
        <v>44.42</v>
      </c>
      <c r="M159" s="3">
        <v>0.1</v>
      </c>
      <c r="N159" s="2">
        <v>79.959999999999994</v>
      </c>
      <c r="O159" s="2">
        <v>52.72</v>
      </c>
      <c r="P159" s="2">
        <v>27.24</v>
      </c>
      <c r="Q159" t="s">
        <v>53</v>
      </c>
    </row>
    <row r="160" spans="1:17">
      <c r="A160" t="s">
        <v>251</v>
      </c>
      <c r="B160" s="1">
        <v>45738</v>
      </c>
      <c r="C160" s="1" t="str">
        <f t="shared" si="4"/>
        <v>Mar 2025</v>
      </c>
      <c r="D160" s="1">
        <f t="shared" si="5"/>
        <v>45717</v>
      </c>
      <c r="E160" t="s">
        <v>6</v>
      </c>
      <c r="F160" t="s">
        <v>65</v>
      </c>
      <c r="G160" t="s">
        <v>62</v>
      </c>
      <c r="H160" t="s">
        <v>57</v>
      </c>
      <c r="I160" t="s">
        <v>12</v>
      </c>
      <c r="J160" t="s">
        <v>138</v>
      </c>
      <c r="K160">
        <v>2</v>
      </c>
      <c r="L160" s="2">
        <v>26.46</v>
      </c>
      <c r="M160" s="3">
        <v>0.15</v>
      </c>
      <c r="N160" s="2">
        <v>44.98</v>
      </c>
      <c r="O160" s="2">
        <v>29.8</v>
      </c>
      <c r="P160" s="2">
        <v>15.18</v>
      </c>
      <c r="Q160" t="s">
        <v>68</v>
      </c>
    </row>
    <row r="161" spans="1:17">
      <c r="A161" t="s">
        <v>252</v>
      </c>
      <c r="B161" s="1">
        <v>45847</v>
      </c>
      <c r="C161" s="1" t="str">
        <f t="shared" si="4"/>
        <v>Jul 2025</v>
      </c>
      <c r="D161" s="1">
        <f t="shared" si="5"/>
        <v>45839</v>
      </c>
      <c r="E161" t="s">
        <v>5</v>
      </c>
      <c r="F161" t="s">
        <v>79</v>
      </c>
      <c r="G161" t="s">
        <v>85</v>
      </c>
      <c r="H161" t="s">
        <v>51</v>
      </c>
      <c r="I161" t="s">
        <v>10</v>
      </c>
      <c r="J161" t="s">
        <v>102</v>
      </c>
      <c r="K161">
        <v>1</v>
      </c>
      <c r="L161" s="2">
        <v>38.130000000000003</v>
      </c>
      <c r="M161" s="3">
        <v>0</v>
      </c>
      <c r="N161" s="2">
        <v>38.130000000000003</v>
      </c>
      <c r="O161" s="2">
        <v>22.89</v>
      </c>
      <c r="P161" s="2">
        <v>15.24</v>
      </c>
      <c r="Q161" t="s">
        <v>59</v>
      </c>
    </row>
    <row r="162" spans="1:17">
      <c r="A162" t="s">
        <v>253</v>
      </c>
      <c r="B162" s="1">
        <v>45854</v>
      </c>
      <c r="C162" s="1" t="str">
        <f t="shared" si="4"/>
        <v>Jul 2025</v>
      </c>
      <c r="D162" s="1">
        <f t="shared" si="5"/>
        <v>45839</v>
      </c>
      <c r="E162" t="s">
        <v>4</v>
      </c>
      <c r="F162" t="s">
        <v>104</v>
      </c>
      <c r="G162" t="s">
        <v>62</v>
      </c>
      <c r="H162" t="s">
        <v>51</v>
      </c>
      <c r="I162" t="s">
        <v>10</v>
      </c>
      <c r="J162" t="s">
        <v>67</v>
      </c>
      <c r="K162">
        <v>1</v>
      </c>
      <c r="L162" s="2">
        <v>228.98</v>
      </c>
      <c r="M162" s="3">
        <v>0</v>
      </c>
      <c r="N162" s="2">
        <v>228.98</v>
      </c>
      <c r="O162" s="2">
        <v>174.95</v>
      </c>
      <c r="P162" s="2">
        <v>54.03</v>
      </c>
      <c r="Q162" t="s">
        <v>68</v>
      </c>
    </row>
    <row r="163" spans="1:17">
      <c r="A163" t="s">
        <v>254</v>
      </c>
      <c r="B163" s="1">
        <v>45913</v>
      </c>
      <c r="C163" s="1" t="str">
        <f t="shared" si="4"/>
        <v>Sep 2025</v>
      </c>
      <c r="D163" s="1">
        <f t="shared" si="5"/>
        <v>45901</v>
      </c>
      <c r="E163" t="s">
        <v>7</v>
      </c>
      <c r="F163" t="s">
        <v>117</v>
      </c>
      <c r="G163" t="s">
        <v>91</v>
      </c>
      <c r="H163" t="s">
        <v>51</v>
      </c>
      <c r="I163" t="s">
        <v>10</v>
      </c>
      <c r="J163" t="s">
        <v>67</v>
      </c>
      <c r="K163">
        <v>3</v>
      </c>
      <c r="L163" s="2">
        <v>203.25</v>
      </c>
      <c r="M163" s="3">
        <v>0</v>
      </c>
      <c r="N163" s="2">
        <v>609.75</v>
      </c>
      <c r="O163" s="2">
        <v>333.54</v>
      </c>
      <c r="P163" s="2">
        <v>276.20999999999998</v>
      </c>
      <c r="Q163" t="s">
        <v>68</v>
      </c>
    </row>
    <row r="164" spans="1:17">
      <c r="A164" t="s">
        <v>255</v>
      </c>
      <c r="B164" s="1">
        <v>45956</v>
      </c>
      <c r="C164" s="1" t="str">
        <f t="shared" si="4"/>
        <v>Oct 2025</v>
      </c>
      <c r="D164" s="1">
        <f t="shared" si="5"/>
        <v>45931</v>
      </c>
      <c r="E164" t="s">
        <v>8</v>
      </c>
      <c r="F164" t="s">
        <v>82</v>
      </c>
      <c r="G164" t="s">
        <v>50</v>
      </c>
      <c r="H164" t="s">
        <v>51</v>
      </c>
      <c r="I164" t="s">
        <v>12</v>
      </c>
      <c r="J164" t="s">
        <v>87</v>
      </c>
      <c r="K164">
        <v>1</v>
      </c>
      <c r="L164" s="2">
        <v>12.11</v>
      </c>
      <c r="M164" s="3">
        <v>0.1</v>
      </c>
      <c r="N164" s="2">
        <v>10.9</v>
      </c>
      <c r="O164" s="2">
        <v>7.34</v>
      </c>
      <c r="P164" s="2">
        <v>3.56</v>
      </c>
      <c r="Q164" t="s">
        <v>59</v>
      </c>
    </row>
    <row r="165" spans="1:17">
      <c r="A165" t="s">
        <v>256</v>
      </c>
      <c r="B165" s="1">
        <v>45845</v>
      </c>
      <c r="C165" s="1" t="str">
        <f t="shared" si="4"/>
        <v>Jul 2025</v>
      </c>
      <c r="D165" s="1">
        <f t="shared" si="5"/>
        <v>45839</v>
      </c>
      <c r="E165" t="s">
        <v>4</v>
      </c>
      <c r="F165" t="s">
        <v>55</v>
      </c>
      <c r="G165" t="s">
        <v>85</v>
      </c>
      <c r="H165" t="s">
        <v>57</v>
      </c>
      <c r="I165" t="s">
        <v>12</v>
      </c>
      <c r="J165" t="s">
        <v>74</v>
      </c>
      <c r="K165">
        <v>1</v>
      </c>
      <c r="L165" s="2">
        <v>9.11</v>
      </c>
      <c r="M165" s="3">
        <v>0.15</v>
      </c>
      <c r="N165" s="2">
        <v>7.74</v>
      </c>
      <c r="O165" s="2">
        <v>5.27</v>
      </c>
      <c r="P165" s="2">
        <v>2.4700000000000002</v>
      </c>
      <c r="Q165" t="s">
        <v>75</v>
      </c>
    </row>
    <row r="166" spans="1:17">
      <c r="A166" t="s">
        <v>257</v>
      </c>
      <c r="B166" s="1">
        <v>45939</v>
      </c>
      <c r="C166" s="1" t="str">
        <f t="shared" si="4"/>
        <v>Oct 2025</v>
      </c>
      <c r="D166" s="1">
        <f t="shared" si="5"/>
        <v>45931</v>
      </c>
      <c r="E166" t="s">
        <v>6</v>
      </c>
      <c r="F166" t="s">
        <v>65</v>
      </c>
      <c r="G166" t="s">
        <v>62</v>
      </c>
      <c r="H166" t="s">
        <v>51</v>
      </c>
      <c r="I166" t="s">
        <v>12</v>
      </c>
      <c r="J166" t="s">
        <v>77</v>
      </c>
      <c r="K166">
        <v>4</v>
      </c>
      <c r="L166" s="2">
        <v>13.89</v>
      </c>
      <c r="M166" s="3">
        <v>0</v>
      </c>
      <c r="N166" s="2">
        <v>55.56</v>
      </c>
      <c r="O166" s="2">
        <v>35.46</v>
      </c>
      <c r="P166" s="2">
        <v>20.100000000000001</v>
      </c>
      <c r="Q166" t="s">
        <v>68</v>
      </c>
    </row>
    <row r="167" spans="1:17">
      <c r="A167" t="s">
        <v>258</v>
      </c>
      <c r="B167" s="1">
        <v>45966</v>
      </c>
      <c r="C167" s="1" t="str">
        <f t="shared" si="4"/>
        <v>Nov 2025</v>
      </c>
      <c r="D167" s="1">
        <f t="shared" si="5"/>
        <v>45962</v>
      </c>
      <c r="E167" t="s">
        <v>7</v>
      </c>
      <c r="F167" t="s">
        <v>117</v>
      </c>
      <c r="G167" t="s">
        <v>91</v>
      </c>
      <c r="H167" t="s">
        <v>51</v>
      </c>
      <c r="I167" t="s">
        <v>10</v>
      </c>
      <c r="J167" t="s">
        <v>67</v>
      </c>
      <c r="K167">
        <v>3</v>
      </c>
      <c r="L167" s="2">
        <v>191.09</v>
      </c>
      <c r="M167" s="3">
        <v>0</v>
      </c>
      <c r="N167" s="2">
        <v>573.27</v>
      </c>
      <c r="O167" s="2">
        <v>420.82</v>
      </c>
      <c r="P167" s="2">
        <v>152.44999999999999</v>
      </c>
      <c r="Q167" t="s">
        <v>68</v>
      </c>
    </row>
    <row r="168" spans="1:17">
      <c r="A168" t="s">
        <v>259</v>
      </c>
      <c r="B168" s="1">
        <v>45825</v>
      </c>
      <c r="C168" s="1" t="str">
        <f t="shared" si="4"/>
        <v>Jun 2025</v>
      </c>
      <c r="D168" s="1">
        <f t="shared" si="5"/>
        <v>45809</v>
      </c>
      <c r="E168" t="s">
        <v>4</v>
      </c>
      <c r="F168" t="s">
        <v>104</v>
      </c>
      <c r="G168" t="s">
        <v>91</v>
      </c>
      <c r="H168" t="s">
        <v>66</v>
      </c>
      <c r="I168" t="s">
        <v>10</v>
      </c>
      <c r="J168" t="s">
        <v>80</v>
      </c>
      <c r="K168">
        <v>1</v>
      </c>
      <c r="L168" s="2">
        <v>167.69</v>
      </c>
      <c r="M168" s="3">
        <v>0.05</v>
      </c>
      <c r="N168" s="2">
        <v>159.31</v>
      </c>
      <c r="O168" s="2">
        <v>117.07</v>
      </c>
      <c r="P168" s="2">
        <v>42.24</v>
      </c>
      <c r="Q168" t="s">
        <v>59</v>
      </c>
    </row>
    <row r="169" spans="1:17">
      <c r="A169" t="s">
        <v>260</v>
      </c>
      <c r="B169" s="1">
        <v>45901</v>
      </c>
      <c r="C169" s="1" t="str">
        <f t="shared" si="4"/>
        <v>Sep 2025</v>
      </c>
      <c r="D169" s="1">
        <f t="shared" si="5"/>
        <v>45901</v>
      </c>
      <c r="E169" t="s">
        <v>8</v>
      </c>
      <c r="F169" t="s">
        <v>90</v>
      </c>
      <c r="G169" t="s">
        <v>91</v>
      </c>
      <c r="H169" t="s">
        <v>57</v>
      </c>
      <c r="I169" t="s">
        <v>11</v>
      </c>
      <c r="J169" t="s">
        <v>115</v>
      </c>
      <c r="K169">
        <v>2</v>
      </c>
      <c r="L169" s="2">
        <v>203.3</v>
      </c>
      <c r="M169" s="3">
        <v>0.1</v>
      </c>
      <c r="N169" s="2">
        <v>365.94</v>
      </c>
      <c r="O169" s="2">
        <v>282.63</v>
      </c>
      <c r="P169" s="2">
        <v>83.31</v>
      </c>
      <c r="Q169" t="s">
        <v>68</v>
      </c>
    </row>
    <row r="170" spans="1:17">
      <c r="A170" t="s">
        <v>261</v>
      </c>
      <c r="B170" s="1">
        <v>45684</v>
      </c>
      <c r="C170" s="1" t="str">
        <f t="shared" si="4"/>
        <v>Jan 2025</v>
      </c>
      <c r="D170" s="1">
        <f t="shared" si="5"/>
        <v>45658</v>
      </c>
      <c r="E170" t="s">
        <v>7</v>
      </c>
      <c r="F170" t="s">
        <v>61</v>
      </c>
      <c r="G170" t="s">
        <v>56</v>
      </c>
      <c r="H170" t="s">
        <v>51</v>
      </c>
      <c r="I170" t="s">
        <v>10</v>
      </c>
      <c r="J170" t="s">
        <v>67</v>
      </c>
      <c r="K170">
        <v>1</v>
      </c>
      <c r="L170" s="2">
        <v>218.06</v>
      </c>
      <c r="M170" s="3">
        <v>0.15</v>
      </c>
      <c r="N170" s="2">
        <v>185.35</v>
      </c>
      <c r="O170" s="2">
        <v>164.06</v>
      </c>
      <c r="P170" s="2">
        <v>21.29</v>
      </c>
      <c r="Q170" t="s">
        <v>53</v>
      </c>
    </row>
    <row r="171" spans="1:17">
      <c r="A171" t="s">
        <v>262</v>
      </c>
      <c r="B171" s="1">
        <v>45755</v>
      </c>
      <c r="C171" s="1" t="str">
        <f t="shared" si="4"/>
        <v>Apr 2025</v>
      </c>
      <c r="D171" s="1">
        <f t="shared" si="5"/>
        <v>45748</v>
      </c>
      <c r="E171" t="s">
        <v>4</v>
      </c>
      <c r="F171" t="s">
        <v>55</v>
      </c>
      <c r="G171" t="s">
        <v>94</v>
      </c>
      <c r="H171" t="s">
        <v>66</v>
      </c>
      <c r="I171" t="s">
        <v>11</v>
      </c>
      <c r="J171" t="s">
        <v>63</v>
      </c>
      <c r="K171">
        <v>2</v>
      </c>
      <c r="L171" s="2">
        <v>74.67</v>
      </c>
      <c r="M171" s="3">
        <v>0</v>
      </c>
      <c r="N171" s="2">
        <v>149.34</v>
      </c>
      <c r="O171" s="2">
        <v>96.04</v>
      </c>
      <c r="P171" s="2">
        <v>53.3</v>
      </c>
      <c r="Q171" t="s">
        <v>68</v>
      </c>
    </row>
    <row r="172" spans="1:17">
      <c r="A172" t="s">
        <v>263</v>
      </c>
      <c r="B172" s="1">
        <v>45923</v>
      </c>
      <c r="C172" s="1" t="str">
        <f t="shared" si="4"/>
        <v>Sep 2025</v>
      </c>
      <c r="D172" s="1">
        <f t="shared" si="5"/>
        <v>45901</v>
      </c>
      <c r="E172" t="s">
        <v>5</v>
      </c>
      <c r="F172" t="s">
        <v>97</v>
      </c>
      <c r="G172" t="s">
        <v>62</v>
      </c>
      <c r="H172" t="s">
        <v>66</v>
      </c>
      <c r="I172" t="s">
        <v>11</v>
      </c>
      <c r="J172" t="s">
        <v>107</v>
      </c>
      <c r="K172">
        <v>2</v>
      </c>
      <c r="L172" s="2">
        <v>57.51</v>
      </c>
      <c r="M172" s="3">
        <v>0.15</v>
      </c>
      <c r="N172" s="2">
        <v>97.77</v>
      </c>
      <c r="O172" s="2">
        <v>72.81</v>
      </c>
      <c r="P172" s="2">
        <v>24.96</v>
      </c>
      <c r="Q172" t="s">
        <v>59</v>
      </c>
    </row>
    <row r="173" spans="1:17">
      <c r="A173" t="s">
        <v>264</v>
      </c>
      <c r="B173" s="1">
        <v>46004</v>
      </c>
      <c r="C173" s="1" t="str">
        <f t="shared" si="4"/>
        <v>Dec 2025</v>
      </c>
      <c r="D173" s="1">
        <f t="shared" si="5"/>
        <v>45992</v>
      </c>
      <c r="E173" t="s">
        <v>6</v>
      </c>
      <c r="F173" t="s">
        <v>109</v>
      </c>
      <c r="G173" t="s">
        <v>71</v>
      </c>
      <c r="H173" t="s">
        <v>57</v>
      </c>
      <c r="I173" t="s">
        <v>10</v>
      </c>
      <c r="J173" t="s">
        <v>80</v>
      </c>
      <c r="K173">
        <v>3</v>
      </c>
      <c r="L173" s="2">
        <v>141.34</v>
      </c>
      <c r="M173" s="3">
        <v>0</v>
      </c>
      <c r="N173" s="2">
        <v>424.02</v>
      </c>
      <c r="O173" s="2">
        <v>255.98</v>
      </c>
      <c r="P173" s="2">
        <v>168.04</v>
      </c>
      <c r="Q173" t="s">
        <v>68</v>
      </c>
    </row>
    <row r="174" spans="1:17">
      <c r="A174" t="s">
        <v>265</v>
      </c>
      <c r="B174" s="1">
        <v>46011</v>
      </c>
      <c r="C174" s="1" t="str">
        <f t="shared" si="4"/>
        <v>Dec 2025</v>
      </c>
      <c r="D174" s="1">
        <f t="shared" si="5"/>
        <v>45992</v>
      </c>
      <c r="E174" t="s">
        <v>4</v>
      </c>
      <c r="F174" t="s">
        <v>104</v>
      </c>
      <c r="G174" t="s">
        <v>50</v>
      </c>
      <c r="H174" t="s">
        <v>57</v>
      </c>
      <c r="I174" t="s">
        <v>10</v>
      </c>
      <c r="J174" t="s">
        <v>67</v>
      </c>
      <c r="K174">
        <v>2</v>
      </c>
      <c r="L174" s="2">
        <v>205.11</v>
      </c>
      <c r="M174" s="3">
        <v>0.05</v>
      </c>
      <c r="N174" s="2">
        <v>389.71</v>
      </c>
      <c r="O174" s="2">
        <v>248.73</v>
      </c>
      <c r="P174" s="2">
        <v>140.97999999999999</v>
      </c>
      <c r="Q174" t="s">
        <v>59</v>
      </c>
    </row>
    <row r="175" spans="1:17">
      <c r="A175" t="s">
        <v>266</v>
      </c>
      <c r="B175" s="1">
        <v>45732</v>
      </c>
      <c r="C175" s="1" t="str">
        <f t="shared" si="4"/>
        <v>Mar 2025</v>
      </c>
      <c r="D175" s="1">
        <f t="shared" si="5"/>
        <v>45717</v>
      </c>
      <c r="E175" t="s">
        <v>6</v>
      </c>
      <c r="F175" t="s">
        <v>65</v>
      </c>
      <c r="G175" t="s">
        <v>91</v>
      </c>
      <c r="H175" t="s">
        <v>51</v>
      </c>
      <c r="I175" t="s">
        <v>12</v>
      </c>
      <c r="J175" t="s">
        <v>87</v>
      </c>
      <c r="K175">
        <v>2</v>
      </c>
      <c r="L175" s="2">
        <v>12.69</v>
      </c>
      <c r="M175" s="3">
        <v>0.05</v>
      </c>
      <c r="N175" s="2">
        <v>24.11</v>
      </c>
      <c r="O175" s="2">
        <v>20.23</v>
      </c>
      <c r="P175" s="2">
        <v>3.88</v>
      </c>
      <c r="Q175" t="s">
        <v>68</v>
      </c>
    </row>
    <row r="176" spans="1:17">
      <c r="A176" t="s">
        <v>267</v>
      </c>
      <c r="B176" s="1">
        <v>45933</v>
      </c>
      <c r="C176" s="1" t="str">
        <f t="shared" si="4"/>
        <v>Oct 2025</v>
      </c>
      <c r="D176" s="1">
        <f t="shared" si="5"/>
        <v>45931</v>
      </c>
      <c r="E176" t="s">
        <v>5</v>
      </c>
      <c r="F176" t="s">
        <v>79</v>
      </c>
      <c r="G176" t="s">
        <v>94</v>
      </c>
      <c r="H176" t="s">
        <v>66</v>
      </c>
      <c r="I176" t="s">
        <v>12</v>
      </c>
      <c r="J176" t="s">
        <v>77</v>
      </c>
      <c r="K176">
        <v>4</v>
      </c>
      <c r="L176" s="2">
        <v>13.95</v>
      </c>
      <c r="M176" s="3">
        <v>0.15</v>
      </c>
      <c r="N176" s="2">
        <v>47.43</v>
      </c>
      <c r="O176" s="2">
        <v>41.42</v>
      </c>
      <c r="P176" s="2">
        <v>6.01</v>
      </c>
      <c r="Q176" t="s">
        <v>68</v>
      </c>
    </row>
    <row r="177" spans="1:17">
      <c r="A177" t="s">
        <v>268</v>
      </c>
      <c r="B177" s="1">
        <v>45984</v>
      </c>
      <c r="C177" s="1" t="str">
        <f t="shared" si="4"/>
        <v>Nov 2025</v>
      </c>
      <c r="D177" s="1">
        <f t="shared" si="5"/>
        <v>45962</v>
      </c>
      <c r="E177" t="s">
        <v>5</v>
      </c>
      <c r="F177" t="s">
        <v>79</v>
      </c>
      <c r="G177" t="s">
        <v>83</v>
      </c>
      <c r="H177" t="s">
        <v>57</v>
      </c>
      <c r="I177" t="s">
        <v>11</v>
      </c>
      <c r="J177" t="s">
        <v>52</v>
      </c>
      <c r="K177">
        <v>1</v>
      </c>
      <c r="L177" s="2">
        <v>24.32</v>
      </c>
      <c r="M177" s="3">
        <v>0.1</v>
      </c>
      <c r="N177" s="2">
        <v>21.89</v>
      </c>
      <c r="O177" s="2">
        <v>13.38</v>
      </c>
      <c r="P177" s="2">
        <v>8.51</v>
      </c>
      <c r="Q177" t="s">
        <v>75</v>
      </c>
    </row>
    <row r="178" spans="1:17">
      <c r="A178" t="s">
        <v>269</v>
      </c>
      <c r="B178" s="1">
        <v>45902</v>
      </c>
      <c r="C178" s="1" t="str">
        <f t="shared" si="4"/>
        <v>Sep 2025</v>
      </c>
      <c r="D178" s="1">
        <f t="shared" si="5"/>
        <v>45901</v>
      </c>
      <c r="E178" t="s">
        <v>8</v>
      </c>
      <c r="F178" t="s">
        <v>90</v>
      </c>
      <c r="G178" t="s">
        <v>56</v>
      </c>
      <c r="H178" t="s">
        <v>66</v>
      </c>
      <c r="I178" t="s">
        <v>10</v>
      </c>
      <c r="J178" t="s">
        <v>125</v>
      </c>
      <c r="K178">
        <v>4</v>
      </c>
      <c r="L178" s="2">
        <v>308.22000000000003</v>
      </c>
      <c r="M178" s="3">
        <v>0.05</v>
      </c>
      <c r="N178" s="2">
        <v>1171.24</v>
      </c>
      <c r="O178" s="2">
        <v>879.99</v>
      </c>
      <c r="P178" s="2">
        <v>291.25</v>
      </c>
      <c r="Q178" t="s">
        <v>53</v>
      </c>
    </row>
    <row r="179" spans="1:17">
      <c r="A179" t="s">
        <v>270</v>
      </c>
      <c r="B179" s="1">
        <v>45747</v>
      </c>
      <c r="C179" s="1" t="str">
        <f t="shared" si="4"/>
        <v>Mar 2025</v>
      </c>
      <c r="D179" s="1">
        <f t="shared" si="5"/>
        <v>45717</v>
      </c>
      <c r="E179" t="s">
        <v>5</v>
      </c>
      <c r="F179" t="s">
        <v>73</v>
      </c>
      <c r="G179" t="s">
        <v>71</v>
      </c>
      <c r="H179" t="s">
        <v>51</v>
      </c>
      <c r="I179" t="s">
        <v>12</v>
      </c>
      <c r="J179" t="s">
        <v>112</v>
      </c>
      <c r="K179">
        <v>6</v>
      </c>
      <c r="L179" s="2">
        <v>7.26</v>
      </c>
      <c r="M179" s="3">
        <v>0.1</v>
      </c>
      <c r="N179" s="2">
        <v>39.200000000000003</v>
      </c>
      <c r="O179" s="2">
        <v>32.950000000000003</v>
      </c>
      <c r="P179" s="2">
        <v>6.25</v>
      </c>
      <c r="Q179" t="s">
        <v>53</v>
      </c>
    </row>
    <row r="180" spans="1:17">
      <c r="A180" t="s">
        <v>271</v>
      </c>
      <c r="B180" s="1">
        <v>45810</v>
      </c>
      <c r="C180" s="1" t="str">
        <f t="shared" si="4"/>
        <v>Jun 2025</v>
      </c>
      <c r="D180" s="1">
        <f t="shared" si="5"/>
        <v>45809</v>
      </c>
      <c r="E180" t="s">
        <v>4</v>
      </c>
      <c r="F180" t="s">
        <v>104</v>
      </c>
      <c r="G180" t="s">
        <v>91</v>
      </c>
      <c r="H180" t="s">
        <v>51</v>
      </c>
      <c r="I180" t="s">
        <v>10</v>
      </c>
      <c r="J180" t="s">
        <v>102</v>
      </c>
      <c r="K180">
        <v>1</v>
      </c>
      <c r="L180" s="2">
        <v>44.65</v>
      </c>
      <c r="M180" s="3">
        <v>0.05</v>
      </c>
      <c r="N180" s="2">
        <v>42.42</v>
      </c>
      <c r="O180" s="2">
        <v>29.3</v>
      </c>
      <c r="P180" s="2">
        <v>13.12</v>
      </c>
      <c r="Q180" t="s">
        <v>75</v>
      </c>
    </row>
    <row r="181" spans="1:17">
      <c r="A181" t="s">
        <v>272</v>
      </c>
      <c r="B181" s="1">
        <v>45797</v>
      </c>
      <c r="C181" s="1" t="str">
        <f t="shared" si="4"/>
        <v>May 2025</v>
      </c>
      <c r="D181" s="1">
        <f t="shared" si="5"/>
        <v>45778</v>
      </c>
      <c r="E181" t="s">
        <v>8</v>
      </c>
      <c r="F181" t="s">
        <v>90</v>
      </c>
      <c r="G181" t="s">
        <v>62</v>
      </c>
      <c r="H181" t="s">
        <v>57</v>
      </c>
      <c r="I181" t="s">
        <v>11</v>
      </c>
      <c r="J181" t="s">
        <v>52</v>
      </c>
      <c r="K181">
        <v>2</v>
      </c>
      <c r="L181" s="2">
        <v>26.52</v>
      </c>
      <c r="M181" s="3">
        <v>0.05</v>
      </c>
      <c r="N181" s="2">
        <v>50.39</v>
      </c>
      <c r="O181" s="2">
        <v>39.020000000000003</v>
      </c>
      <c r="P181" s="2">
        <v>11.37</v>
      </c>
      <c r="Q181" t="s">
        <v>68</v>
      </c>
    </row>
    <row r="182" spans="1:17">
      <c r="A182" t="s">
        <v>273</v>
      </c>
      <c r="B182" s="1">
        <v>45747</v>
      </c>
      <c r="C182" s="1" t="str">
        <f t="shared" si="4"/>
        <v>Mar 2025</v>
      </c>
      <c r="D182" s="1">
        <f t="shared" si="5"/>
        <v>45717</v>
      </c>
      <c r="E182" t="s">
        <v>8</v>
      </c>
      <c r="F182" t="s">
        <v>82</v>
      </c>
      <c r="G182" t="s">
        <v>83</v>
      </c>
      <c r="H182" t="s">
        <v>57</v>
      </c>
      <c r="I182" t="s">
        <v>10</v>
      </c>
      <c r="J182" t="s">
        <v>67</v>
      </c>
      <c r="K182">
        <v>5</v>
      </c>
      <c r="L182" s="2">
        <v>212.81</v>
      </c>
      <c r="M182" s="3">
        <v>0</v>
      </c>
      <c r="N182" s="2">
        <v>1064.05</v>
      </c>
      <c r="O182" s="2">
        <v>681.26</v>
      </c>
      <c r="P182" s="2">
        <v>382.79</v>
      </c>
      <c r="Q182" t="s">
        <v>59</v>
      </c>
    </row>
    <row r="183" spans="1:17">
      <c r="A183" t="s">
        <v>274</v>
      </c>
      <c r="B183" s="1">
        <v>45785</v>
      </c>
      <c r="C183" s="1" t="str">
        <f t="shared" si="4"/>
        <v>May 2025</v>
      </c>
      <c r="D183" s="1">
        <f t="shared" si="5"/>
        <v>45778</v>
      </c>
      <c r="E183" t="s">
        <v>6</v>
      </c>
      <c r="F183" t="s">
        <v>65</v>
      </c>
      <c r="G183" t="s">
        <v>94</v>
      </c>
      <c r="H183" t="s">
        <v>57</v>
      </c>
      <c r="I183" t="s">
        <v>11</v>
      </c>
      <c r="J183" t="s">
        <v>115</v>
      </c>
      <c r="K183">
        <v>2</v>
      </c>
      <c r="L183" s="2">
        <v>219.62</v>
      </c>
      <c r="M183" s="3">
        <v>0.05</v>
      </c>
      <c r="N183" s="2">
        <v>417.28</v>
      </c>
      <c r="O183" s="2">
        <v>354.12</v>
      </c>
      <c r="P183" s="2">
        <v>63.16</v>
      </c>
      <c r="Q183" t="s">
        <v>59</v>
      </c>
    </row>
    <row r="184" spans="1:17">
      <c r="A184" t="s">
        <v>275</v>
      </c>
      <c r="B184" s="1">
        <v>46012</v>
      </c>
      <c r="C184" s="1" t="str">
        <f t="shared" si="4"/>
        <v>Dec 2025</v>
      </c>
      <c r="D184" s="1">
        <f t="shared" si="5"/>
        <v>45992</v>
      </c>
      <c r="E184" t="s">
        <v>4</v>
      </c>
      <c r="F184" t="s">
        <v>104</v>
      </c>
      <c r="G184" t="s">
        <v>71</v>
      </c>
      <c r="H184" t="s">
        <v>66</v>
      </c>
      <c r="I184" t="s">
        <v>11</v>
      </c>
      <c r="J184" t="s">
        <v>52</v>
      </c>
      <c r="K184">
        <v>3</v>
      </c>
      <c r="L184" s="2">
        <v>25.06</v>
      </c>
      <c r="M184" s="3">
        <v>0</v>
      </c>
      <c r="N184" s="2">
        <v>75.180000000000007</v>
      </c>
      <c r="O184" s="2">
        <v>48.24</v>
      </c>
      <c r="P184" s="2">
        <v>26.94</v>
      </c>
      <c r="Q184" t="s">
        <v>53</v>
      </c>
    </row>
    <row r="185" spans="1:17">
      <c r="A185" t="s">
        <v>276</v>
      </c>
      <c r="B185" s="1">
        <v>45985</v>
      </c>
      <c r="C185" s="1" t="str">
        <f t="shared" si="4"/>
        <v>Nov 2025</v>
      </c>
      <c r="D185" s="1">
        <f t="shared" si="5"/>
        <v>45962</v>
      </c>
      <c r="E185" t="s">
        <v>7</v>
      </c>
      <c r="F185" t="s">
        <v>117</v>
      </c>
      <c r="G185" t="s">
        <v>62</v>
      </c>
      <c r="H185" t="s">
        <v>57</v>
      </c>
      <c r="I185" t="s">
        <v>12</v>
      </c>
      <c r="J185" t="s">
        <v>74</v>
      </c>
      <c r="K185">
        <v>3</v>
      </c>
      <c r="L185" s="2">
        <v>9.48</v>
      </c>
      <c r="M185" s="3">
        <v>0</v>
      </c>
      <c r="N185" s="2">
        <v>28.44</v>
      </c>
      <c r="O185" s="2">
        <v>18.87</v>
      </c>
      <c r="P185" s="2">
        <v>9.57</v>
      </c>
      <c r="Q185" t="s">
        <v>75</v>
      </c>
    </row>
    <row r="186" spans="1:17">
      <c r="A186" t="s">
        <v>277</v>
      </c>
      <c r="B186" s="1">
        <v>45933</v>
      </c>
      <c r="C186" s="1" t="str">
        <f t="shared" si="4"/>
        <v>Oct 2025</v>
      </c>
      <c r="D186" s="1">
        <f t="shared" si="5"/>
        <v>45931</v>
      </c>
      <c r="E186" t="s">
        <v>8</v>
      </c>
      <c r="F186" t="s">
        <v>90</v>
      </c>
      <c r="G186" t="s">
        <v>91</v>
      </c>
      <c r="H186" t="s">
        <v>66</v>
      </c>
      <c r="I186" t="s">
        <v>10</v>
      </c>
      <c r="J186" t="s">
        <v>125</v>
      </c>
      <c r="K186">
        <v>4</v>
      </c>
      <c r="L186" s="2">
        <v>335.9</v>
      </c>
      <c r="M186" s="3">
        <v>0.15</v>
      </c>
      <c r="N186" s="2">
        <v>1142.06</v>
      </c>
      <c r="O186" s="2">
        <v>1050.6199999999999</v>
      </c>
      <c r="P186" s="2">
        <v>91.44</v>
      </c>
      <c r="Q186" t="s">
        <v>59</v>
      </c>
    </row>
    <row r="187" spans="1:17">
      <c r="A187" t="s">
        <v>278</v>
      </c>
      <c r="B187" s="1">
        <v>45697</v>
      </c>
      <c r="C187" s="1" t="str">
        <f t="shared" si="4"/>
        <v>Feb 2025</v>
      </c>
      <c r="D187" s="1">
        <f t="shared" si="5"/>
        <v>45689</v>
      </c>
      <c r="E187" t="s">
        <v>4</v>
      </c>
      <c r="F187" t="s">
        <v>49</v>
      </c>
      <c r="G187" t="s">
        <v>83</v>
      </c>
      <c r="H187" t="s">
        <v>57</v>
      </c>
      <c r="I187" t="s">
        <v>10</v>
      </c>
      <c r="J187" t="s">
        <v>130</v>
      </c>
      <c r="K187">
        <v>1</v>
      </c>
      <c r="L187" s="2">
        <v>183.69</v>
      </c>
      <c r="M187" s="3">
        <v>0.15</v>
      </c>
      <c r="N187" s="2">
        <v>156.13999999999999</v>
      </c>
      <c r="O187" s="2">
        <v>106.66</v>
      </c>
      <c r="P187" s="2">
        <v>49.48</v>
      </c>
      <c r="Q187" t="s">
        <v>75</v>
      </c>
    </row>
    <row r="188" spans="1:17">
      <c r="A188" t="s">
        <v>279</v>
      </c>
      <c r="B188" s="1">
        <v>45717</v>
      </c>
      <c r="C188" s="1" t="str">
        <f t="shared" si="4"/>
        <v>Mar 2025</v>
      </c>
      <c r="D188" s="1">
        <f t="shared" si="5"/>
        <v>45717</v>
      </c>
      <c r="E188" t="s">
        <v>8</v>
      </c>
      <c r="F188" t="s">
        <v>70</v>
      </c>
      <c r="G188" t="s">
        <v>83</v>
      </c>
      <c r="H188" t="s">
        <v>66</v>
      </c>
      <c r="I188" t="s">
        <v>10</v>
      </c>
      <c r="J188" t="s">
        <v>125</v>
      </c>
      <c r="K188">
        <v>4</v>
      </c>
      <c r="L188" s="2">
        <v>322.41000000000003</v>
      </c>
      <c r="M188" s="3">
        <v>0.15</v>
      </c>
      <c r="N188" s="2">
        <v>1096.19</v>
      </c>
      <c r="O188" s="2">
        <v>842.97</v>
      </c>
      <c r="P188" s="2">
        <v>253.22</v>
      </c>
      <c r="Q188" t="s">
        <v>75</v>
      </c>
    </row>
    <row r="189" spans="1:17">
      <c r="A189" t="s">
        <v>280</v>
      </c>
      <c r="B189" s="1">
        <v>45891</v>
      </c>
      <c r="C189" s="1" t="str">
        <f t="shared" si="4"/>
        <v>Aug 2025</v>
      </c>
      <c r="D189" s="1">
        <f t="shared" si="5"/>
        <v>45870</v>
      </c>
      <c r="E189" t="s">
        <v>7</v>
      </c>
      <c r="F189" t="s">
        <v>101</v>
      </c>
      <c r="G189" t="s">
        <v>94</v>
      </c>
      <c r="H189" t="s">
        <v>66</v>
      </c>
      <c r="I189" t="s">
        <v>10</v>
      </c>
      <c r="J189" t="s">
        <v>130</v>
      </c>
      <c r="K189">
        <v>3</v>
      </c>
      <c r="L189" s="2">
        <v>188.64</v>
      </c>
      <c r="M189" s="3">
        <v>0.05</v>
      </c>
      <c r="N189" s="2">
        <v>537.62</v>
      </c>
      <c r="O189" s="2">
        <v>417.07</v>
      </c>
      <c r="P189" s="2">
        <v>120.55</v>
      </c>
      <c r="Q189" t="s">
        <v>68</v>
      </c>
    </row>
    <row r="190" spans="1:17">
      <c r="A190" t="s">
        <v>281</v>
      </c>
      <c r="B190" s="1">
        <v>45954</v>
      </c>
      <c r="C190" s="1" t="str">
        <f t="shared" si="4"/>
        <v>Oct 2025</v>
      </c>
      <c r="D190" s="1">
        <f t="shared" si="5"/>
        <v>45931</v>
      </c>
      <c r="E190" t="s">
        <v>8</v>
      </c>
      <c r="F190" t="s">
        <v>70</v>
      </c>
      <c r="G190" t="s">
        <v>94</v>
      </c>
      <c r="H190" t="s">
        <v>57</v>
      </c>
      <c r="I190" t="s">
        <v>11</v>
      </c>
      <c r="J190" t="s">
        <v>52</v>
      </c>
      <c r="K190">
        <v>2</v>
      </c>
      <c r="L190" s="2">
        <v>26.35</v>
      </c>
      <c r="M190" s="3">
        <v>0.15</v>
      </c>
      <c r="N190" s="2">
        <v>44.8</v>
      </c>
      <c r="O190" s="2">
        <v>43.12</v>
      </c>
      <c r="P190" s="2">
        <v>1.68</v>
      </c>
      <c r="Q190" t="s">
        <v>75</v>
      </c>
    </row>
    <row r="191" spans="1:17">
      <c r="A191" t="s">
        <v>282</v>
      </c>
      <c r="B191" s="1">
        <v>45750</v>
      </c>
      <c r="C191" s="1" t="str">
        <f t="shared" si="4"/>
        <v>Apr 2025</v>
      </c>
      <c r="D191" s="1">
        <f t="shared" si="5"/>
        <v>45748</v>
      </c>
      <c r="E191" t="s">
        <v>7</v>
      </c>
      <c r="F191" t="s">
        <v>101</v>
      </c>
      <c r="G191" t="s">
        <v>85</v>
      </c>
      <c r="H191" t="s">
        <v>66</v>
      </c>
      <c r="I191" t="s">
        <v>11</v>
      </c>
      <c r="J191" t="s">
        <v>63</v>
      </c>
      <c r="K191">
        <v>2</v>
      </c>
      <c r="L191" s="2">
        <v>87.69</v>
      </c>
      <c r="M191" s="3">
        <v>0.1</v>
      </c>
      <c r="N191" s="2">
        <v>157.84</v>
      </c>
      <c r="O191" s="2">
        <v>136.94999999999999</v>
      </c>
      <c r="P191" s="2">
        <v>20.89</v>
      </c>
      <c r="Q191" t="s">
        <v>68</v>
      </c>
    </row>
    <row r="192" spans="1:17">
      <c r="A192" t="s">
        <v>283</v>
      </c>
      <c r="B192" s="1">
        <v>45992</v>
      </c>
      <c r="C192" s="1" t="str">
        <f t="shared" si="4"/>
        <v>Dec 2025</v>
      </c>
      <c r="D192" s="1">
        <f t="shared" si="5"/>
        <v>45992</v>
      </c>
      <c r="E192" t="s">
        <v>5</v>
      </c>
      <c r="F192" t="s">
        <v>79</v>
      </c>
      <c r="G192" t="s">
        <v>94</v>
      </c>
      <c r="H192" t="s">
        <v>57</v>
      </c>
      <c r="I192" t="s">
        <v>12</v>
      </c>
      <c r="J192" t="s">
        <v>87</v>
      </c>
      <c r="K192">
        <v>1</v>
      </c>
      <c r="L192" s="2">
        <v>12.22</v>
      </c>
      <c r="M192" s="3">
        <v>0.15</v>
      </c>
      <c r="N192" s="2">
        <v>10.39</v>
      </c>
      <c r="O192" s="2">
        <v>6.82</v>
      </c>
      <c r="P192" s="2">
        <v>3.57</v>
      </c>
      <c r="Q192" t="s">
        <v>75</v>
      </c>
    </row>
    <row r="193" spans="1:17">
      <c r="A193" t="s">
        <v>284</v>
      </c>
      <c r="B193" s="1">
        <v>46002</v>
      </c>
      <c r="C193" s="1" t="str">
        <f t="shared" si="4"/>
        <v>Dec 2025</v>
      </c>
      <c r="D193" s="1">
        <f t="shared" si="5"/>
        <v>45992</v>
      </c>
      <c r="E193" t="s">
        <v>6</v>
      </c>
      <c r="F193" t="s">
        <v>109</v>
      </c>
      <c r="G193" t="s">
        <v>71</v>
      </c>
      <c r="H193" t="s">
        <v>51</v>
      </c>
      <c r="I193" t="s">
        <v>10</v>
      </c>
      <c r="J193" t="s">
        <v>102</v>
      </c>
      <c r="K193">
        <v>2</v>
      </c>
      <c r="L193" s="2">
        <v>39.340000000000003</v>
      </c>
      <c r="M193" s="3">
        <v>0</v>
      </c>
      <c r="N193" s="2">
        <v>78.680000000000007</v>
      </c>
      <c r="O193" s="2">
        <v>46.76</v>
      </c>
      <c r="P193" s="2">
        <v>31.92</v>
      </c>
      <c r="Q193" t="s">
        <v>53</v>
      </c>
    </row>
    <row r="194" spans="1:17">
      <c r="A194" t="s">
        <v>285</v>
      </c>
      <c r="B194" s="1">
        <v>45674</v>
      </c>
      <c r="C194" s="1" t="str">
        <f t="shared" ref="C194:C257" si="6">TEXT(D194,"mmm yyyy")</f>
        <v>Jan 2025</v>
      </c>
      <c r="D194" s="1">
        <f t="shared" ref="D194:D257" si="7">DATE(YEAR(B194),MONTH(B194),1)</f>
        <v>45658</v>
      </c>
      <c r="E194" t="s">
        <v>8</v>
      </c>
      <c r="F194" t="s">
        <v>82</v>
      </c>
      <c r="G194" t="s">
        <v>94</v>
      </c>
      <c r="H194" t="s">
        <v>57</v>
      </c>
      <c r="I194" t="s">
        <v>10</v>
      </c>
      <c r="J194" t="s">
        <v>67</v>
      </c>
      <c r="K194">
        <v>3</v>
      </c>
      <c r="L194" s="2">
        <v>232.25</v>
      </c>
      <c r="M194" s="3">
        <v>0</v>
      </c>
      <c r="N194" s="2">
        <v>696.75</v>
      </c>
      <c r="O194" s="2">
        <v>412.62</v>
      </c>
      <c r="P194" s="2">
        <v>284.13</v>
      </c>
      <c r="Q194" t="s">
        <v>53</v>
      </c>
    </row>
    <row r="195" spans="1:17">
      <c r="A195" t="s">
        <v>286</v>
      </c>
      <c r="B195" s="1">
        <v>45783</v>
      </c>
      <c r="C195" s="1" t="str">
        <f t="shared" si="6"/>
        <v>May 2025</v>
      </c>
      <c r="D195" s="1">
        <f t="shared" si="7"/>
        <v>45778</v>
      </c>
      <c r="E195" t="s">
        <v>8</v>
      </c>
      <c r="F195" t="s">
        <v>82</v>
      </c>
      <c r="G195" t="s">
        <v>71</v>
      </c>
      <c r="H195" t="s">
        <v>51</v>
      </c>
      <c r="I195" t="s">
        <v>10</v>
      </c>
      <c r="J195" t="s">
        <v>130</v>
      </c>
      <c r="K195">
        <v>2</v>
      </c>
      <c r="L195" s="2">
        <v>171.28</v>
      </c>
      <c r="M195" s="3">
        <v>0</v>
      </c>
      <c r="N195" s="2">
        <v>342.56</v>
      </c>
      <c r="O195" s="2">
        <v>255.66</v>
      </c>
      <c r="P195" s="2">
        <v>86.9</v>
      </c>
      <c r="Q195" t="s">
        <v>59</v>
      </c>
    </row>
    <row r="196" spans="1:17">
      <c r="A196" t="s">
        <v>287</v>
      </c>
      <c r="B196" s="1">
        <v>45953</v>
      </c>
      <c r="C196" s="1" t="str">
        <f t="shared" si="6"/>
        <v>Oct 2025</v>
      </c>
      <c r="D196" s="1">
        <f t="shared" si="7"/>
        <v>45931</v>
      </c>
      <c r="E196" t="s">
        <v>6</v>
      </c>
      <c r="F196" t="s">
        <v>149</v>
      </c>
      <c r="G196" t="s">
        <v>94</v>
      </c>
      <c r="H196" t="s">
        <v>66</v>
      </c>
      <c r="I196" t="s">
        <v>10</v>
      </c>
      <c r="J196" t="s">
        <v>80</v>
      </c>
      <c r="K196">
        <v>1</v>
      </c>
      <c r="L196" s="2">
        <v>163.92</v>
      </c>
      <c r="M196" s="3">
        <v>0.15</v>
      </c>
      <c r="N196" s="2">
        <v>139.33000000000001</v>
      </c>
      <c r="O196" s="2">
        <v>96.11</v>
      </c>
      <c r="P196" s="2">
        <v>43.22</v>
      </c>
      <c r="Q196" t="s">
        <v>68</v>
      </c>
    </row>
    <row r="197" spans="1:17">
      <c r="A197" t="s">
        <v>288</v>
      </c>
      <c r="B197" s="1">
        <v>45978</v>
      </c>
      <c r="C197" s="1" t="str">
        <f t="shared" si="6"/>
        <v>Nov 2025</v>
      </c>
      <c r="D197" s="1">
        <f t="shared" si="7"/>
        <v>45962</v>
      </c>
      <c r="E197" t="s">
        <v>7</v>
      </c>
      <c r="F197" t="s">
        <v>117</v>
      </c>
      <c r="G197" t="s">
        <v>62</v>
      </c>
      <c r="H197" t="s">
        <v>66</v>
      </c>
      <c r="I197" t="s">
        <v>10</v>
      </c>
      <c r="J197" t="s">
        <v>67</v>
      </c>
      <c r="K197">
        <v>3</v>
      </c>
      <c r="L197" s="2">
        <v>191.17</v>
      </c>
      <c r="M197" s="3">
        <v>0.05</v>
      </c>
      <c r="N197" s="2">
        <v>544.83000000000004</v>
      </c>
      <c r="O197" s="2">
        <v>460.23</v>
      </c>
      <c r="P197" s="2">
        <v>84.6</v>
      </c>
      <c r="Q197" t="s">
        <v>75</v>
      </c>
    </row>
    <row r="198" spans="1:17">
      <c r="A198" t="s">
        <v>289</v>
      </c>
      <c r="B198" s="1">
        <v>45867</v>
      </c>
      <c r="C198" s="1" t="str">
        <f t="shared" si="6"/>
        <v>Jul 2025</v>
      </c>
      <c r="D198" s="1">
        <f t="shared" si="7"/>
        <v>45839</v>
      </c>
      <c r="E198" t="s">
        <v>5</v>
      </c>
      <c r="F198" t="s">
        <v>97</v>
      </c>
      <c r="G198" t="s">
        <v>83</v>
      </c>
      <c r="H198" t="s">
        <v>57</v>
      </c>
      <c r="I198" t="s">
        <v>11</v>
      </c>
      <c r="J198" t="s">
        <v>115</v>
      </c>
      <c r="K198">
        <v>2</v>
      </c>
      <c r="L198" s="2">
        <v>234.51</v>
      </c>
      <c r="M198" s="3">
        <v>0.1</v>
      </c>
      <c r="N198" s="2">
        <v>422.12</v>
      </c>
      <c r="O198" s="2">
        <v>277.8</v>
      </c>
      <c r="P198" s="2">
        <v>144.32</v>
      </c>
      <c r="Q198" t="s">
        <v>53</v>
      </c>
    </row>
    <row r="199" spans="1:17">
      <c r="A199" t="s">
        <v>290</v>
      </c>
      <c r="B199" s="1">
        <v>45945</v>
      </c>
      <c r="C199" s="1" t="str">
        <f t="shared" si="6"/>
        <v>Oct 2025</v>
      </c>
      <c r="D199" s="1">
        <f t="shared" si="7"/>
        <v>45931</v>
      </c>
      <c r="E199" t="s">
        <v>6</v>
      </c>
      <c r="F199" t="s">
        <v>65</v>
      </c>
      <c r="G199" t="s">
        <v>85</v>
      </c>
      <c r="H199" t="s">
        <v>57</v>
      </c>
      <c r="I199" t="s">
        <v>12</v>
      </c>
      <c r="J199" t="s">
        <v>138</v>
      </c>
      <c r="K199">
        <v>3</v>
      </c>
      <c r="L199" s="2">
        <v>26.03</v>
      </c>
      <c r="M199" s="3">
        <v>0</v>
      </c>
      <c r="N199" s="2">
        <v>78.09</v>
      </c>
      <c r="O199" s="2">
        <v>46.58</v>
      </c>
      <c r="P199" s="2">
        <v>31.51</v>
      </c>
      <c r="Q199" t="s">
        <v>59</v>
      </c>
    </row>
    <row r="200" spans="1:17">
      <c r="A200" t="s">
        <v>291</v>
      </c>
      <c r="B200" s="1">
        <v>45705</v>
      </c>
      <c r="C200" s="1" t="str">
        <f t="shared" si="6"/>
        <v>Feb 2025</v>
      </c>
      <c r="D200" s="1">
        <f t="shared" si="7"/>
        <v>45689</v>
      </c>
      <c r="E200" t="s">
        <v>8</v>
      </c>
      <c r="F200" t="s">
        <v>82</v>
      </c>
      <c r="G200" t="s">
        <v>56</v>
      </c>
      <c r="H200" t="s">
        <v>57</v>
      </c>
      <c r="I200" t="s">
        <v>10</v>
      </c>
      <c r="J200" t="s">
        <v>125</v>
      </c>
      <c r="K200">
        <v>1</v>
      </c>
      <c r="L200" s="2">
        <v>314.55</v>
      </c>
      <c r="M200" s="3">
        <v>0.15</v>
      </c>
      <c r="N200" s="2">
        <v>267.37</v>
      </c>
      <c r="O200" s="2">
        <v>220.46</v>
      </c>
      <c r="P200" s="2">
        <v>46.91</v>
      </c>
      <c r="Q200" t="s">
        <v>68</v>
      </c>
    </row>
    <row r="201" spans="1:17">
      <c r="A201" t="s">
        <v>292</v>
      </c>
      <c r="B201" s="1">
        <v>45828</v>
      </c>
      <c r="C201" s="1" t="str">
        <f t="shared" si="6"/>
        <v>Jun 2025</v>
      </c>
      <c r="D201" s="1">
        <f t="shared" si="7"/>
        <v>45809</v>
      </c>
      <c r="E201" t="s">
        <v>7</v>
      </c>
      <c r="F201" t="s">
        <v>61</v>
      </c>
      <c r="G201" t="s">
        <v>56</v>
      </c>
      <c r="H201" t="s">
        <v>57</v>
      </c>
      <c r="I201" t="s">
        <v>12</v>
      </c>
      <c r="J201" t="s">
        <v>87</v>
      </c>
      <c r="K201">
        <v>1</v>
      </c>
      <c r="L201" s="2">
        <v>11.3</v>
      </c>
      <c r="M201" s="3">
        <v>0</v>
      </c>
      <c r="N201" s="2">
        <v>11.3</v>
      </c>
      <c r="O201" s="2">
        <v>8.41</v>
      </c>
      <c r="P201" s="2">
        <v>2.89</v>
      </c>
      <c r="Q201" t="s">
        <v>68</v>
      </c>
    </row>
    <row r="202" spans="1:17">
      <c r="A202" t="s">
        <v>293</v>
      </c>
      <c r="B202" s="1">
        <v>45940</v>
      </c>
      <c r="C202" s="1" t="str">
        <f t="shared" si="6"/>
        <v>Oct 2025</v>
      </c>
      <c r="D202" s="1">
        <f t="shared" si="7"/>
        <v>45931</v>
      </c>
      <c r="E202" t="s">
        <v>6</v>
      </c>
      <c r="F202" t="s">
        <v>65</v>
      </c>
      <c r="G202" t="s">
        <v>91</v>
      </c>
      <c r="H202" t="s">
        <v>57</v>
      </c>
      <c r="I202" t="s">
        <v>12</v>
      </c>
      <c r="J202" t="s">
        <v>74</v>
      </c>
      <c r="K202">
        <v>2</v>
      </c>
      <c r="L202" s="2">
        <v>10.17</v>
      </c>
      <c r="M202" s="3">
        <v>0.05</v>
      </c>
      <c r="N202" s="2">
        <v>19.32</v>
      </c>
      <c r="O202" s="2">
        <v>12.46</v>
      </c>
      <c r="P202" s="2">
        <v>6.86</v>
      </c>
      <c r="Q202" t="s">
        <v>53</v>
      </c>
    </row>
    <row r="203" spans="1:17">
      <c r="A203" t="s">
        <v>294</v>
      </c>
      <c r="B203" s="1">
        <v>45898</v>
      </c>
      <c r="C203" s="1" t="str">
        <f t="shared" si="6"/>
        <v>Aug 2025</v>
      </c>
      <c r="D203" s="1">
        <f t="shared" si="7"/>
        <v>45870</v>
      </c>
      <c r="E203" t="s">
        <v>5</v>
      </c>
      <c r="F203" t="s">
        <v>79</v>
      </c>
      <c r="G203" t="s">
        <v>71</v>
      </c>
      <c r="H203" t="s">
        <v>66</v>
      </c>
      <c r="I203" t="s">
        <v>12</v>
      </c>
      <c r="J203" t="s">
        <v>112</v>
      </c>
      <c r="K203">
        <v>2</v>
      </c>
      <c r="L203" s="2">
        <v>7.93</v>
      </c>
      <c r="M203" s="3">
        <v>0.15</v>
      </c>
      <c r="N203" s="2">
        <v>13.48</v>
      </c>
      <c r="O203" s="2">
        <v>12.36</v>
      </c>
      <c r="P203" s="2">
        <v>1.1200000000000001</v>
      </c>
      <c r="Q203" t="s">
        <v>75</v>
      </c>
    </row>
    <row r="204" spans="1:17">
      <c r="A204" t="s">
        <v>295</v>
      </c>
      <c r="B204" s="1">
        <v>45809</v>
      </c>
      <c r="C204" s="1" t="str">
        <f t="shared" si="6"/>
        <v>Jun 2025</v>
      </c>
      <c r="D204" s="1">
        <f t="shared" si="7"/>
        <v>45809</v>
      </c>
      <c r="E204" t="s">
        <v>6</v>
      </c>
      <c r="F204" t="s">
        <v>149</v>
      </c>
      <c r="G204" t="s">
        <v>91</v>
      </c>
      <c r="H204" t="s">
        <v>66</v>
      </c>
      <c r="I204" t="s">
        <v>11</v>
      </c>
      <c r="J204" t="s">
        <v>58</v>
      </c>
      <c r="K204">
        <v>2</v>
      </c>
      <c r="L204" s="2">
        <v>44.26</v>
      </c>
      <c r="M204" s="3">
        <v>0</v>
      </c>
      <c r="N204" s="2">
        <v>88.52</v>
      </c>
      <c r="O204" s="2">
        <v>59.29</v>
      </c>
      <c r="P204" s="2">
        <v>29.23</v>
      </c>
      <c r="Q204" t="s">
        <v>75</v>
      </c>
    </row>
    <row r="205" spans="1:17">
      <c r="A205" t="s">
        <v>296</v>
      </c>
      <c r="B205" s="1">
        <v>45893</v>
      </c>
      <c r="C205" s="1" t="str">
        <f t="shared" si="6"/>
        <v>Aug 2025</v>
      </c>
      <c r="D205" s="1">
        <f t="shared" si="7"/>
        <v>45870</v>
      </c>
      <c r="E205" t="s">
        <v>4</v>
      </c>
      <c r="F205" t="s">
        <v>104</v>
      </c>
      <c r="G205" t="s">
        <v>94</v>
      </c>
      <c r="H205" t="s">
        <v>66</v>
      </c>
      <c r="I205" t="s">
        <v>11</v>
      </c>
      <c r="J205" t="s">
        <v>115</v>
      </c>
      <c r="K205">
        <v>1</v>
      </c>
      <c r="L205" s="2">
        <v>232.86</v>
      </c>
      <c r="M205" s="3">
        <v>0.1</v>
      </c>
      <c r="N205" s="2">
        <v>209.57</v>
      </c>
      <c r="O205" s="2">
        <v>133.94</v>
      </c>
      <c r="P205" s="2">
        <v>75.63</v>
      </c>
      <c r="Q205" t="s">
        <v>53</v>
      </c>
    </row>
    <row r="206" spans="1:17">
      <c r="A206" t="s">
        <v>297</v>
      </c>
      <c r="B206" s="1">
        <v>45696</v>
      </c>
      <c r="C206" s="1" t="str">
        <f t="shared" si="6"/>
        <v>Feb 2025</v>
      </c>
      <c r="D206" s="1">
        <f t="shared" si="7"/>
        <v>45689</v>
      </c>
      <c r="E206" t="s">
        <v>5</v>
      </c>
      <c r="F206" t="s">
        <v>79</v>
      </c>
      <c r="G206" t="s">
        <v>56</v>
      </c>
      <c r="H206" t="s">
        <v>66</v>
      </c>
      <c r="I206" t="s">
        <v>10</v>
      </c>
      <c r="J206" t="s">
        <v>130</v>
      </c>
      <c r="K206">
        <v>4</v>
      </c>
      <c r="L206" s="2">
        <v>178.33</v>
      </c>
      <c r="M206" s="3">
        <v>0</v>
      </c>
      <c r="N206" s="2">
        <v>713.32</v>
      </c>
      <c r="O206" s="2">
        <v>385.47</v>
      </c>
      <c r="P206" s="2">
        <v>327.85</v>
      </c>
      <c r="Q206" t="s">
        <v>75</v>
      </c>
    </row>
    <row r="207" spans="1:17">
      <c r="A207" t="s">
        <v>298</v>
      </c>
      <c r="B207" s="1">
        <v>45849</v>
      </c>
      <c r="C207" s="1" t="str">
        <f t="shared" si="6"/>
        <v>Jul 2025</v>
      </c>
      <c r="D207" s="1">
        <f t="shared" si="7"/>
        <v>45839</v>
      </c>
      <c r="E207" t="s">
        <v>8</v>
      </c>
      <c r="F207" t="s">
        <v>82</v>
      </c>
      <c r="G207" t="s">
        <v>50</v>
      </c>
      <c r="H207" t="s">
        <v>51</v>
      </c>
      <c r="I207" t="s">
        <v>11</v>
      </c>
      <c r="J207" t="s">
        <v>107</v>
      </c>
      <c r="K207">
        <v>3</v>
      </c>
      <c r="L207" s="2">
        <v>60.8</v>
      </c>
      <c r="M207" s="3">
        <v>0.1</v>
      </c>
      <c r="N207" s="2">
        <v>164.16</v>
      </c>
      <c r="O207" s="2">
        <v>130.91999999999999</v>
      </c>
      <c r="P207" s="2">
        <v>33.24</v>
      </c>
      <c r="Q207" t="s">
        <v>53</v>
      </c>
    </row>
    <row r="208" spans="1:17">
      <c r="A208" t="s">
        <v>299</v>
      </c>
      <c r="B208" s="1">
        <v>45929</v>
      </c>
      <c r="C208" s="1" t="str">
        <f t="shared" si="6"/>
        <v>Sep 2025</v>
      </c>
      <c r="D208" s="1">
        <f t="shared" si="7"/>
        <v>45901</v>
      </c>
      <c r="E208" t="s">
        <v>7</v>
      </c>
      <c r="F208" t="s">
        <v>61</v>
      </c>
      <c r="G208" t="s">
        <v>85</v>
      </c>
      <c r="H208" t="s">
        <v>51</v>
      </c>
      <c r="I208" t="s">
        <v>10</v>
      </c>
      <c r="J208" t="s">
        <v>80</v>
      </c>
      <c r="K208">
        <v>3</v>
      </c>
      <c r="L208" s="2">
        <v>144.46</v>
      </c>
      <c r="M208" s="3">
        <v>0.15</v>
      </c>
      <c r="N208" s="2">
        <v>368.37</v>
      </c>
      <c r="O208" s="2">
        <v>331.08</v>
      </c>
      <c r="P208" s="2">
        <v>37.29</v>
      </c>
      <c r="Q208" t="s">
        <v>68</v>
      </c>
    </row>
    <row r="209" spans="1:17">
      <c r="A209" t="s">
        <v>300</v>
      </c>
      <c r="B209" s="1">
        <v>45781</v>
      </c>
      <c r="C209" s="1" t="str">
        <f t="shared" si="6"/>
        <v>May 2025</v>
      </c>
      <c r="D209" s="1">
        <f t="shared" si="7"/>
        <v>45778</v>
      </c>
      <c r="E209" t="s">
        <v>8</v>
      </c>
      <c r="F209" t="s">
        <v>70</v>
      </c>
      <c r="G209" t="s">
        <v>50</v>
      </c>
      <c r="H209" t="s">
        <v>57</v>
      </c>
      <c r="I209" t="s">
        <v>11</v>
      </c>
      <c r="J209" t="s">
        <v>107</v>
      </c>
      <c r="K209">
        <v>3</v>
      </c>
      <c r="L209" s="2">
        <v>59.36</v>
      </c>
      <c r="M209" s="3">
        <v>0.05</v>
      </c>
      <c r="N209" s="2">
        <v>169.18</v>
      </c>
      <c r="O209" s="2">
        <v>135.07</v>
      </c>
      <c r="P209" s="2">
        <v>34.11</v>
      </c>
      <c r="Q209" t="s">
        <v>68</v>
      </c>
    </row>
    <row r="210" spans="1:17">
      <c r="A210" t="s">
        <v>301</v>
      </c>
      <c r="B210" s="1">
        <v>46014</v>
      </c>
      <c r="C210" s="1" t="str">
        <f t="shared" si="6"/>
        <v>Dec 2025</v>
      </c>
      <c r="D210" s="1">
        <f t="shared" si="7"/>
        <v>45992</v>
      </c>
      <c r="E210" t="s">
        <v>7</v>
      </c>
      <c r="F210" t="s">
        <v>101</v>
      </c>
      <c r="G210" t="s">
        <v>91</v>
      </c>
      <c r="H210" t="s">
        <v>51</v>
      </c>
      <c r="I210" t="s">
        <v>11</v>
      </c>
      <c r="J210" t="s">
        <v>115</v>
      </c>
      <c r="K210">
        <v>4</v>
      </c>
      <c r="L210" s="2">
        <v>239.04</v>
      </c>
      <c r="M210" s="3">
        <v>0</v>
      </c>
      <c r="N210" s="2">
        <v>956.16</v>
      </c>
      <c r="O210" s="2">
        <v>524.02</v>
      </c>
      <c r="P210" s="2">
        <v>432.14</v>
      </c>
      <c r="Q210" t="s">
        <v>53</v>
      </c>
    </row>
    <row r="211" spans="1:17">
      <c r="A211" t="s">
        <v>302</v>
      </c>
      <c r="B211" s="1">
        <v>46017</v>
      </c>
      <c r="C211" s="1" t="str">
        <f t="shared" si="6"/>
        <v>Dec 2025</v>
      </c>
      <c r="D211" s="1">
        <f t="shared" si="7"/>
        <v>45992</v>
      </c>
      <c r="E211" t="s">
        <v>8</v>
      </c>
      <c r="F211" t="s">
        <v>90</v>
      </c>
      <c r="G211" t="s">
        <v>94</v>
      </c>
      <c r="H211" t="s">
        <v>51</v>
      </c>
      <c r="I211" t="s">
        <v>11</v>
      </c>
      <c r="J211" t="s">
        <v>52</v>
      </c>
      <c r="K211">
        <v>3</v>
      </c>
      <c r="L211" s="2">
        <v>24.89</v>
      </c>
      <c r="M211" s="3">
        <v>0.05</v>
      </c>
      <c r="N211" s="2">
        <v>70.94</v>
      </c>
      <c r="O211" s="2">
        <v>51.5</v>
      </c>
      <c r="P211" s="2">
        <v>19.440000000000001</v>
      </c>
      <c r="Q211" t="s">
        <v>68</v>
      </c>
    </row>
    <row r="212" spans="1:17">
      <c r="A212" t="s">
        <v>303</v>
      </c>
      <c r="B212" s="1">
        <v>46012</v>
      </c>
      <c r="C212" s="1" t="str">
        <f t="shared" si="6"/>
        <v>Dec 2025</v>
      </c>
      <c r="D212" s="1">
        <f t="shared" si="7"/>
        <v>45992</v>
      </c>
      <c r="E212" t="s">
        <v>4</v>
      </c>
      <c r="F212" t="s">
        <v>104</v>
      </c>
      <c r="G212" t="s">
        <v>94</v>
      </c>
      <c r="H212" t="s">
        <v>51</v>
      </c>
      <c r="I212" t="s">
        <v>10</v>
      </c>
      <c r="J212" t="s">
        <v>67</v>
      </c>
      <c r="K212">
        <v>2</v>
      </c>
      <c r="L212" s="2">
        <v>231.7</v>
      </c>
      <c r="M212" s="3">
        <v>0.05</v>
      </c>
      <c r="N212" s="2">
        <v>440.23</v>
      </c>
      <c r="O212" s="2">
        <v>365.99</v>
      </c>
      <c r="P212" s="2">
        <v>74.239999999999995</v>
      </c>
      <c r="Q212" t="s">
        <v>59</v>
      </c>
    </row>
    <row r="213" spans="1:17">
      <c r="A213" t="s">
        <v>304</v>
      </c>
      <c r="B213" s="1">
        <v>45666</v>
      </c>
      <c r="C213" s="1" t="str">
        <f t="shared" si="6"/>
        <v>Jan 2025</v>
      </c>
      <c r="D213" s="1">
        <f t="shared" si="7"/>
        <v>45658</v>
      </c>
      <c r="E213" t="s">
        <v>6</v>
      </c>
      <c r="F213" t="s">
        <v>109</v>
      </c>
      <c r="G213" t="s">
        <v>56</v>
      </c>
      <c r="H213" t="s">
        <v>66</v>
      </c>
      <c r="I213" t="s">
        <v>11</v>
      </c>
      <c r="J213" t="s">
        <v>107</v>
      </c>
      <c r="K213">
        <v>1</v>
      </c>
      <c r="L213" s="2">
        <v>59.43</v>
      </c>
      <c r="M213" s="3">
        <v>0.1</v>
      </c>
      <c r="N213" s="2">
        <v>53.49</v>
      </c>
      <c r="O213" s="2">
        <v>47.46</v>
      </c>
      <c r="P213" s="2">
        <v>6.03</v>
      </c>
      <c r="Q213" t="s">
        <v>75</v>
      </c>
    </row>
    <row r="214" spans="1:17">
      <c r="A214" t="s">
        <v>305</v>
      </c>
      <c r="B214" s="1">
        <v>46004</v>
      </c>
      <c r="C214" s="1" t="str">
        <f t="shared" si="6"/>
        <v>Dec 2025</v>
      </c>
      <c r="D214" s="1">
        <f t="shared" si="7"/>
        <v>45992</v>
      </c>
      <c r="E214" t="s">
        <v>6</v>
      </c>
      <c r="F214" t="s">
        <v>109</v>
      </c>
      <c r="G214" t="s">
        <v>85</v>
      </c>
      <c r="H214" t="s">
        <v>57</v>
      </c>
      <c r="I214" t="s">
        <v>10</v>
      </c>
      <c r="J214" t="s">
        <v>80</v>
      </c>
      <c r="K214">
        <v>2</v>
      </c>
      <c r="L214" s="2">
        <v>159.41</v>
      </c>
      <c r="M214" s="3">
        <v>0</v>
      </c>
      <c r="N214" s="2">
        <v>318.82</v>
      </c>
      <c r="O214" s="2">
        <v>213.69</v>
      </c>
      <c r="P214" s="2">
        <v>105.13</v>
      </c>
      <c r="Q214" t="s">
        <v>68</v>
      </c>
    </row>
    <row r="215" spans="1:17">
      <c r="A215" t="s">
        <v>306</v>
      </c>
      <c r="B215" s="1">
        <v>45696</v>
      </c>
      <c r="C215" s="1" t="str">
        <f t="shared" si="6"/>
        <v>Feb 2025</v>
      </c>
      <c r="D215" s="1">
        <f t="shared" si="7"/>
        <v>45689</v>
      </c>
      <c r="E215" t="s">
        <v>6</v>
      </c>
      <c r="F215" t="s">
        <v>109</v>
      </c>
      <c r="G215" t="s">
        <v>71</v>
      </c>
      <c r="H215" t="s">
        <v>57</v>
      </c>
      <c r="I215" t="s">
        <v>12</v>
      </c>
      <c r="J215" t="s">
        <v>77</v>
      </c>
      <c r="K215">
        <v>4</v>
      </c>
      <c r="L215" s="2">
        <v>16.649999999999999</v>
      </c>
      <c r="M215" s="3">
        <v>0.1</v>
      </c>
      <c r="N215" s="2">
        <v>59.94</v>
      </c>
      <c r="O215" s="2">
        <v>53.99</v>
      </c>
      <c r="P215" s="2">
        <v>5.95</v>
      </c>
      <c r="Q215" t="s">
        <v>75</v>
      </c>
    </row>
    <row r="216" spans="1:17">
      <c r="A216" t="s">
        <v>307</v>
      </c>
      <c r="B216" s="1">
        <v>45774</v>
      </c>
      <c r="C216" s="1" t="str">
        <f t="shared" si="6"/>
        <v>Apr 2025</v>
      </c>
      <c r="D216" s="1">
        <f t="shared" si="7"/>
        <v>45748</v>
      </c>
      <c r="E216" t="s">
        <v>8</v>
      </c>
      <c r="F216" t="s">
        <v>90</v>
      </c>
      <c r="G216" t="s">
        <v>71</v>
      </c>
      <c r="H216" t="s">
        <v>51</v>
      </c>
      <c r="I216" t="s">
        <v>12</v>
      </c>
      <c r="J216" t="s">
        <v>77</v>
      </c>
      <c r="K216">
        <v>8</v>
      </c>
      <c r="L216" s="2">
        <v>14.93</v>
      </c>
      <c r="M216" s="3">
        <v>0.15</v>
      </c>
      <c r="N216" s="2">
        <v>101.52</v>
      </c>
      <c r="O216" s="2">
        <v>85.78</v>
      </c>
      <c r="P216" s="2">
        <v>15.74</v>
      </c>
      <c r="Q216" t="s">
        <v>53</v>
      </c>
    </row>
    <row r="217" spans="1:17">
      <c r="A217" t="s">
        <v>308</v>
      </c>
      <c r="B217" s="1">
        <v>45700</v>
      </c>
      <c r="C217" s="1" t="str">
        <f t="shared" si="6"/>
        <v>Feb 2025</v>
      </c>
      <c r="D217" s="1">
        <f t="shared" si="7"/>
        <v>45689</v>
      </c>
      <c r="E217" t="s">
        <v>6</v>
      </c>
      <c r="F217" t="s">
        <v>149</v>
      </c>
      <c r="G217" t="s">
        <v>85</v>
      </c>
      <c r="H217" t="s">
        <v>51</v>
      </c>
      <c r="I217" t="s">
        <v>12</v>
      </c>
      <c r="J217" t="s">
        <v>112</v>
      </c>
      <c r="K217">
        <v>2</v>
      </c>
      <c r="L217" s="2">
        <v>8.58</v>
      </c>
      <c r="M217" s="3">
        <v>0</v>
      </c>
      <c r="N217" s="2">
        <v>17.16</v>
      </c>
      <c r="O217" s="2">
        <v>12.73</v>
      </c>
      <c r="P217" s="2">
        <v>4.43</v>
      </c>
      <c r="Q217" t="s">
        <v>53</v>
      </c>
    </row>
    <row r="218" spans="1:17">
      <c r="A218" t="s">
        <v>309</v>
      </c>
      <c r="B218" s="1">
        <v>45815</v>
      </c>
      <c r="C218" s="1" t="str">
        <f t="shared" si="6"/>
        <v>Jun 2025</v>
      </c>
      <c r="D218" s="1">
        <f t="shared" si="7"/>
        <v>45809</v>
      </c>
      <c r="E218" t="s">
        <v>7</v>
      </c>
      <c r="F218" t="s">
        <v>117</v>
      </c>
      <c r="G218" t="s">
        <v>50</v>
      </c>
      <c r="H218" t="s">
        <v>51</v>
      </c>
      <c r="I218" t="s">
        <v>12</v>
      </c>
      <c r="J218" t="s">
        <v>74</v>
      </c>
      <c r="K218">
        <v>4</v>
      </c>
      <c r="L218" s="2">
        <v>9.2200000000000006</v>
      </c>
      <c r="M218" s="3">
        <v>0</v>
      </c>
      <c r="N218" s="2">
        <v>36.880000000000003</v>
      </c>
      <c r="O218" s="2">
        <v>21.25</v>
      </c>
      <c r="P218" s="2">
        <v>15.63</v>
      </c>
      <c r="Q218" t="s">
        <v>53</v>
      </c>
    </row>
    <row r="219" spans="1:17">
      <c r="A219" t="s">
        <v>310</v>
      </c>
      <c r="B219" s="1">
        <v>45703</v>
      </c>
      <c r="C219" s="1" t="str">
        <f t="shared" si="6"/>
        <v>Feb 2025</v>
      </c>
      <c r="D219" s="1">
        <f t="shared" si="7"/>
        <v>45689</v>
      </c>
      <c r="E219" t="s">
        <v>8</v>
      </c>
      <c r="F219" t="s">
        <v>70</v>
      </c>
      <c r="G219" t="s">
        <v>50</v>
      </c>
      <c r="H219" t="s">
        <v>57</v>
      </c>
      <c r="I219" t="s">
        <v>12</v>
      </c>
      <c r="J219" t="s">
        <v>77</v>
      </c>
      <c r="K219">
        <v>1</v>
      </c>
      <c r="L219" s="2">
        <v>15.47</v>
      </c>
      <c r="M219" s="3">
        <v>0.05</v>
      </c>
      <c r="N219" s="2">
        <v>14.7</v>
      </c>
      <c r="O219" s="2">
        <v>12.05</v>
      </c>
      <c r="P219" s="2">
        <v>2.65</v>
      </c>
      <c r="Q219" t="s">
        <v>53</v>
      </c>
    </row>
    <row r="220" spans="1:17">
      <c r="A220" t="s">
        <v>311</v>
      </c>
      <c r="B220" s="1">
        <v>45944</v>
      </c>
      <c r="C220" s="1" t="str">
        <f t="shared" si="6"/>
        <v>Oct 2025</v>
      </c>
      <c r="D220" s="1">
        <f t="shared" si="7"/>
        <v>45931</v>
      </c>
      <c r="E220" t="s">
        <v>6</v>
      </c>
      <c r="F220" t="s">
        <v>149</v>
      </c>
      <c r="G220" t="s">
        <v>91</v>
      </c>
      <c r="H220" t="s">
        <v>51</v>
      </c>
      <c r="I220" t="s">
        <v>11</v>
      </c>
      <c r="J220" t="s">
        <v>107</v>
      </c>
      <c r="K220">
        <v>3</v>
      </c>
      <c r="L220" s="2">
        <v>57.79</v>
      </c>
      <c r="M220" s="3">
        <v>0</v>
      </c>
      <c r="N220" s="2">
        <v>173.37</v>
      </c>
      <c r="O220" s="2">
        <v>97.37</v>
      </c>
      <c r="P220" s="2">
        <v>76</v>
      </c>
      <c r="Q220" t="s">
        <v>53</v>
      </c>
    </row>
    <row r="221" spans="1:17">
      <c r="A221" t="s">
        <v>312</v>
      </c>
      <c r="B221" s="1">
        <v>45743</v>
      </c>
      <c r="C221" s="1" t="str">
        <f t="shared" si="6"/>
        <v>Mar 2025</v>
      </c>
      <c r="D221" s="1">
        <f t="shared" si="7"/>
        <v>45717</v>
      </c>
      <c r="E221" t="s">
        <v>5</v>
      </c>
      <c r="F221" t="s">
        <v>73</v>
      </c>
      <c r="G221" t="s">
        <v>91</v>
      </c>
      <c r="H221" t="s">
        <v>66</v>
      </c>
      <c r="I221" t="s">
        <v>12</v>
      </c>
      <c r="J221" t="s">
        <v>74</v>
      </c>
      <c r="K221">
        <v>2</v>
      </c>
      <c r="L221" s="2">
        <v>10.07</v>
      </c>
      <c r="M221" s="3">
        <v>0</v>
      </c>
      <c r="N221" s="2">
        <v>20.14</v>
      </c>
      <c r="O221" s="2">
        <v>12.65</v>
      </c>
      <c r="P221" s="2">
        <v>7.49</v>
      </c>
      <c r="Q221" t="s">
        <v>68</v>
      </c>
    </row>
    <row r="222" spans="1:17">
      <c r="A222" t="s">
        <v>313</v>
      </c>
      <c r="B222" s="1">
        <v>45892</v>
      </c>
      <c r="C222" s="1" t="str">
        <f t="shared" si="6"/>
        <v>Aug 2025</v>
      </c>
      <c r="D222" s="1">
        <f t="shared" si="7"/>
        <v>45870</v>
      </c>
      <c r="E222" t="s">
        <v>7</v>
      </c>
      <c r="F222" t="s">
        <v>101</v>
      </c>
      <c r="G222" t="s">
        <v>91</v>
      </c>
      <c r="H222" t="s">
        <v>57</v>
      </c>
      <c r="I222" t="s">
        <v>11</v>
      </c>
      <c r="J222" t="s">
        <v>58</v>
      </c>
      <c r="K222">
        <v>2</v>
      </c>
      <c r="L222" s="2">
        <v>49.89</v>
      </c>
      <c r="M222" s="3">
        <v>0.05</v>
      </c>
      <c r="N222" s="2">
        <v>94.79</v>
      </c>
      <c r="O222" s="2">
        <v>77.08</v>
      </c>
      <c r="P222" s="2">
        <v>17.71</v>
      </c>
      <c r="Q222" t="s">
        <v>75</v>
      </c>
    </row>
    <row r="223" spans="1:17">
      <c r="A223" t="s">
        <v>314</v>
      </c>
      <c r="B223" s="1">
        <v>45991</v>
      </c>
      <c r="C223" s="1" t="str">
        <f t="shared" si="6"/>
        <v>Nov 2025</v>
      </c>
      <c r="D223" s="1">
        <f t="shared" si="7"/>
        <v>45962</v>
      </c>
      <c r="E223" t="s">
        <v>5</v>
      </c>
      <c r="F223" t="s">
        <v>97</v>
      </c>
      <c r="G223" t="s">
        <v>62</v>
      </c>
      <c r="H223" t="s">
        <v>57</v>
      </c>
      <c r="I223" t="s">
        <v>10</v>
      </c>
      <c r="J223" t="s">
        <v>125</v>
      </c>
      <c r="K223">
        <v>2</v>
      </c>
      <c r="L223" s="2">
        <v>330.47</v>
      </c>
      <c r="M223" s="3">
        <v>0</v>
      </c>
      <c r="N223" s="2">
        <v>660.94</v>
      </c>
      <c r="O223" s="2">
        <v>438.67</v>
      </c>
      <c r="P223" s="2">
        <v>222.27</v>
      </c>
      <c r="Q223" t="s">
        <v>75</v>
      </c>
    </row>
    <row r="224" spans="1:17">
      <c r="A224" t="s">
        <v>315</v>
      </c>
      <c r="B224" s="1">
        <v>45952</v>
      </c>
      <c r="C224" s="1" t="str">
        <f t="shared" si="6"/>
        <v>Oct 2025</v>
      </c>
      <c r="D224" s="1">
        <f t="shared" si="7"/>
        <v>45931</v>
      </c>
      <c r="E224" t="s">
        <v>4</v>
      </c>
      <c r="F224" t="s">
        <v>49</v>
      </c>
      <c r="G224" t="s">
        <v>83</v>
      </c>
      <c r="H224" t="s">
        <v>66</v>
      </c>
      <c r="I224" t="s">
        <v>11</v>
      </c>
      <c r="J224" t="s">
        <v>115</v>
      </c>
      <c r="K224">
        <v>2</v>
      </c>
      <c r="L224" s="2">
        <v>237.52</v>
      </c>
      <c r="M224" s="3">
        <v>0.1</v>
      </c>
      <c r="N224" s="2">
        <v>427.54</v>
      </c>
      <c r="O224" s="2">
        <v>299.04000000000002</v>
      </c>
      <c r="P224" s="2">
        <v>128.5</v>
      </c>
      <c r="Q224" t="s">
        <v>53</v>
      </c>
    </row>
    <row r="225" spans="1:17">
      <c r="A225" t="s">
        <v>316</v>
      </c>
      <c r="B225" s="1">
        <v>45894</v>
      </c>
      <c r="C225" s="1" t="str">
        <f t="shared" si="6"/>
        <v>Aug 2025</v>
      </c>
      <c r="D225" s="1">
        <f t="shared" si="7"/>
        <v>45870</v>
      </c>
      <c r="E225" t="s">
        <v>7</v>
      </c>
      <c r="F225" t="s">
        <v>117</v>
      </c>
      <c r="G225" t="s">
        <v>91</v>
      </c>
      <c r="H225" t="s">
        <v>51</v>
      </c>
      <c r="I225" t="s">
        <v>10</v>
      </c>
      <c r="J225" t="s">
        <v>125</v>
      </c>
      <c r="K225">
        <v>2</v>
      </c>
      <c r="L225" s="2">
        <v>308.51</v>
      </c>
      <c r="M225" s="3">
        <v>0</v>
      </c>
      <c r="N225" s="2">
        <v>617.02</v>
      </c>
      <c r="O225" s="2">
        <v>472.45</v>
      </c>
      <c r="P225" s="2">
        <v>144.57</v>
      </c>
      <c r="Q225" t="s">
        <v>59</v>
      </c>
    </row>
    <row r="226" spans="1:17">
      <c r="A226" t="s">
        <v>317</v>
      </c>
      <c r="B226" s="1">
        <v>45781</v>
      </c>
      <c r="C226" s="1" t="str">
        <f t="shared" si="6"/>
        <v>May 2025</v>
      </c>
      <c r="D226" s="1">
        <f t="shared" si="7"/>
        <v>45778</v>
      </c>
      <c r="E226" t="s">
        <v>4</v>
      </c>
      <c r="F226" t="s">
        <v>55</v>
      </c>
      <c r="G226" t="s">
        <v>50</v>
      </c>
      <c r="H226" t="s">
        <v>66</v>
      </c>
      <c r="I226" t="s">
        <v>12</v>
      </c>
      <c r="J226" t="s">
        <v>112</v>
      </c>
      <c r="K226">
        <v>4</v>
      </c>
      <c r="L226" s="2">
        <v>8.59</v>
      </c>
      <c r="M226" s="3">
        <v>0</v>
      </c>
      <c r="N226" s="2">
        <v>34.36</v>
      </c>
      <c r="O226" s="2">
        <v>22.5</v>
      </c>
      <c r="P226" s="2">
        <v>11.86</v>
      </c>
      <c r="Q226" t="s">
        <v>75</v>
      </c>
    </row>
    <row r="227" spans="1:17">
      <c r="A227" t="s">
        <v>318</v>
      </c>
      <c r="B227" s="1">
        <v>45936</v>
      </c>
      <c r="C227" s="1" t="str">
        <f t="shared" si="6"/>
        <v>Oct 2025</v>
      </c>
      <c r="D227" s="1">
        <f t="shared" si="7"/>
        <v>45931</v>
      </c>
      <c r="E227" t="s">
        <v>8</v>
      </c>
      <c r="F227" t="s">
        <v>82</v>
      </c>
      <c r="G227" t="s">
        <v>56</v>
      </c>
      <c r="H227" t="s">
        <v>66</v>
      </c>
      <c r="I227" t="s">
        <v>11</v>
      </c>
      <c r="J227" t="s">
        <v>115</v>
      </c>
      <c r="K227">
        <v>4</v>
      </c>
      <c r="L227" s="2">
        <v>237.32</v>
      </c>
      <c r="M227" s="3">
        <v>0.15</v>
      </c>
      <c r="N227" s="2">
        <v>806.89</v>
      </c>
      <c r="O227" s="2">
        <v>675.37</v>
      </c>
      <c r="P227" s="2">
        <v>131.52000000000001</v>
      </c>
      <c r="Q227" t="s">
        <v>59</v>
      </c>
    </row>
    <row r="228" spans="1:17">
      <c r="A228" t="s">
        <v>319</v>
      </c>
      <c r="B228" s="1">
        <v>45743</v>
      </c>
      <c r="C228" s="1" t="str">
        <f t="shared" si="6"/>
        <v>Mar 2025</v>
      </c>
      <c r="D228" s="1">
        <f t="shared" si="7"/>
        <v>45717</v>
      </c>
      <c r="E228" t="s">
        <v>6</v>
      </c>
      <c r="F228" t="s">
        <v>149</v>
      </c>
      <c r="G228" t="s">
        <v>85</v>
      </c>
      <c r="H228" t="s">
        <v>51</v>
      </c>
      <c r="I228" t="s">
        <v>10</v>
      </c>
      <c r="J228" t="s">
        <v>102</v>
      </c>
      <c r="K228">
        <v>1</v>
      </c>
      <c r="L228" s="2">
        <v>44.66</v>
      </c>
      <c r="M228" s="3">
        <v>0.1</v>
      </c>
      <c r="N228" s="2">
        <v>40.19</v>
      </c>
      <c r="O228" s="2">
        <v>36.18</v>
      </c>
      <c r="P228" s="2">
        <v>4.01</v>
      </c>
      <c r="Q228" t="s">
        <v>53</v>
      </c>
    </row>
    <row r="229" spans="1:17">
      <c r="A229" t="s">
        <v>320</v>
      </c>
      <c r="B229" s="1">
        <v>45790</v>
      </c>
      <c r="C229" s="1" t="str">
        <f t="shared" si="6"/>
        <v>May 2025</v>
      </c>
      <c r="D229" s="1">
        <f t="shared" si="7"/>
        <v>45778</v>
      </c>
      <c r="E229" t="s">
        <v>6</v>
      </c>
      <c r="F229" t="s">
        <v>149</v>
      </c>
      <c r="G229" t="s">
        <v>91</v>
      </c>
      <c r="H229" t="s">
        <v>66</v>
      </c>
      <c r="I229" t="s">
        <v>11</v>
      </c>
      <c r="J229" t="s">
        <v>107</v>
      </c>
      <c r="K229">
        <v>4</v>
      </c>
      <c r="L229" s="2">
        <v>56.25</v>
      </c>
      <c r="M229" s="3">
        <v>0.15</v>
      </c>
      <c r="N229" s="2">
        <v>191.25</v>
      </c>
      <c r="O229" s="2">
        <v>131.91999999999999</v>
      </c>
      <c r="P229" s="2">
        <v>59.33</v>
      </c>
      <c r="Q229" t="s">
        <v>68</v>
      </c>
    </row>
    <row r="230" spans="1:17">
      <c r="A230" t="s">
        <v>321</v>
      </c>
      <c r="B230" s="1">
        <v>45834</v>
      </c>
      <c r="C230" s="1" t="str">
        <f t="shared" si="6"/>
        <v>Jun 2025</v>
      </c>
      <c r="D230" s="1">
        <f t="shared" si="7"/>
        <v>45809</v>
      </c>
      <c r="E230" t="s">
        <v>5</v>
      </c>
      <c r="F230" t="s">
        <v>97</v>
      </c>
      <c r="G230" t="s">
        <v>71</v>
      </c>
      <c r="H230" t="s">
        <v>57</v>
      </c>
      <c r="I230" t="s">
        <v>11</v>
      </c>
      <c r="J230" t="s">
        <v>63</v>
      </c>
      <c r="K230">
        <v>1</v>
      </c>
      <c r="L230" s="2">
        <v>79.319999999999993</v>
      </c>
      <c r="M230" s="3">
        <v>0</v>
      </c>
      <c r="N230" s="2">
        <v>79.319999999999993</v>
      </c>
      <c r="O230" s="2">
        <v>44.01</v>
      </c>
      <c r="P230" s="2">
        <v>35.31</v>
      </c>
      <c r="Q230" t="s">
        <v>75</v>
      </c>
    </row>
    <row r="231" spans="1:17">
      <c r="A231" t="s">
        <v>322</v>
      </c>
      <c r="B231" s="1">
        <v>45763</v>
      </c>
      <c r="C231" s="1" t="str">
        <f t="shared" si="6"/>
        <v>Apr 2025</v>
      </c>
      <c r="D231" s="1">
        <f t="shared" si="7"/>
        <v>45748</v>
      </c>
      <c r="E231" t="s">
        <v>6</v>
      </c>
      <c r="F231" t="s">
        <v>109</v>
      </c>
      <c r="G231" t="s">
        <v>85</v>
      </c>
      <c r="H231" t="s">
        <v>51</v>
      </c>
      <c r="I231" t="s">
        <v>10</v>
      </c>
      <c r="J231" t="s">
        <v>67</v>
      </c>
      <c r="K231">
        <v>2</v>
      </c>
      <c r="L231" s="2">
        <v>193.51</v>
      </c>
      <c r="M231" s="3">
        <v>0.1</v>
      </c>
      <c r="N231" s="2">
        <v>348.32</v>
      </c>
      <c r="O231" s="2">
        <v>238.28</v>
      </c>
      <c r="P231" s="2">
        <v>110.04</v>
      </c>
      <c r="Q231" t="s">
        <v>59</v>
      </c>
    </row>
    <row r="232" spans="1:17">
      <c r="A232" t="s">
        <v>323</v>
      </c>
      <c r="B232" s="1">
        <v>45989</v>
      </c>
      <c r="C232" s="1" t="str">
        <f t="shared" si="6"/>
        <v>Nov 2025</v>
      </c>
      <c r="D232" s="1">
        <f t="shared" si="7"/>
        <v>45962</v>
      </c>
      <c r="E232" t="s">
        <v>5</v>
      </c>
      <c r="F232" t="s">
        <v>97</v>
      </c>
      <c r="G232" t="s">
        <v>50</v>
      </c>
      <c r="H232" t="s">
        <v>57</v>
      </c>
      <c r="I232" t="s">
        <v>11</v>
      </c>
      <c r="J232" t="s">
        <v>58</v>
      </c>
      <c r="K232">
        <v>6</v>
      </c>
      <c r="L232" s="2">
        <v>47.83</v>
      </c>
      <c r="M232" s="3">
        <v>0.15</v>
      </c>
      <c r="N232" s="2">
        <v>243.93</v>
      </c>
      <c r="O232" s="2">
        <v>164.25</v>
      </c>
      <c r="P232" s="2">
        <v>79.680000000000007</v>
      </c>
      <c r="Q232" t="s">
        <v>68</v>
      </c>
    </row>
    <row r="233" spans="1:17">
      <c r="A233" t="s">
        <v>324</v>
      </c>
      <c r="B233" s="1">
        <v>45865</v>
      </c>
      <c r="C233" s="1" t="str">
        <f t="shared" si="6"/>
        <v>Jul 2025</v>
      </c>
      <c r="D233" s="1">
        <f t="shared" si="7"/>
        <v>45839</v>
      </c>
      <c r="E233" t="s">
        <v>4</v>
      </c>
      <c r="F233" t="s">
        <v>49</v>
      </c>
      <c r="G233" t="s">
        <v>91</v>
      </c>
      <c r="H233" t="s">
        <v>66</v>
      </c>
      <c r="I233" t="s">
        <v>10</v>
      </c>
      <c r="J233" t="s">
        <v>125</v>
      </c>
      <c r="K233">
        <v>1</v>
      </c>
      <c r="L233" s="2">
        <v>334.27</v>
      </c>
      <c r="M233" s="3">
        <v>0.1</v>
      </c>
      <c r="N233" s="2">
        <v>300.83999999999997</v>
      </c>
      <c r="O233" s="2">
        <v>176.75</v>
      </c>
      <c r="P233" s="2">
        <v>124.09</v>
      </c>
      <c r="Q233" t="s">
        <v>75</v>
      </c>
    </row>
    <row r="234" spans="1:17">
      <c r="A234" t="s">
        <v>325</v>
      </c>
      <c r="B234" s="1">
        <v>45857</v>
      </c>
      <c r="C234" s="1" t="str">
        <f t="shared" si="6"/>
        <v>Jul 2025</v>
      </c>
      <c r="D234" s="1">
        <f t="shared" si="7"/>
        <v>45839</v>
      </c>
      <c r="E234" t="s">
        <v>4</v>
      </c>
      <c r="F234" t="s">
        <v>49</v>
      </c>
      <c r="G234" t="s">
        <v>62</v>
      </c>
      <c r="H234" t="s">
        <v>57</v>
      </c>
      <c r="I234" t="s">
        <v>11</v>
      </c>
      <c r="J234" t="s">
        <v>58</v>
      </c>
      <c r="K234">
        <v>1</v>
      </c>
      <c r="L234" s="2">
        <v>47.95</v>
      </c>
      <c r="M234" s="3">
        <v>0</v>
      </c>
      <c r="N234" s="2">
        <v>47.95</v>
      </c>
      <c r="O234" s="2">
        <v>33.24</v>
      </c>
      <c r="P234" s="2">
        <v>14.71</v>
      </c>
      <c r="Q234" t="s">
        <v>68</v>
      </c>
    </row>
    <row r="235" spans="1:17">
      <c r="A235" t="s">
        <v>326</v>
      </c>
      <c r="B235" s="1">
        <v>45892</v>
      </c>
      <c r="C235" s="1" t="str">
        <f t="shared" si="6"/>
        <v>Aug 2025</v>
      </c>
      <c r="D235" s="1">
        <f t="shared" si="7"/>
        <v>45870</v>
      </c>
      <c r="E235" t="s">
        <v>4</v>
      </c>
      <c r="F235" t="s">
        <v>55</v>
      </c>
      <c r="G235" t="s">
        <v>85</v>
      </c>
      <c r="H235" t="s">
        <v>57</v>
      </c>
      <c r="I235" t="s">
        <v>11</v>
      </c>
      <c r="J235" t="s">
        <v>115</v>
      </c>
      <c r="K235">
        <v>4</v>
      </c>
      <c r="L235" s="2">
        <v>221.69</v>
      </c>
      <c r="M235" s="3">
        <v>0.05</v>
      </c>
      <c r="N235" s="2">
        <v>842.42</v>
      </c>
      <c r="O235" s="2">
        <v>619.92999999999995</v>
      </c>
      <c r="P235" s="2">
        <v>222.49</v>
      </c>
      <c r="Q235" t="s">
        <v>59</v>
      </c>
    </row>
    <row r="236" spans="1:17">
      <c r="A236" t="s">
        <v>327</v>
      </c>
      <c r="B236" s="1">
        <v>45892</v>
      </c>
      <c r="C236" s="1" t="str">
        <f t="shared" si="6"/>
        <v>Aug 2025</v>
      </c>
      <c r="D236" s="1">
        <f t="shared" si="7"/>
        <v>45870</v>
      </c>
      <c r="E236" t="s">
        <v>4</v>
      </c>
      <c r="F236" t="s">
        <v>49</v>
      </c>
      <c r="G236" t="s">
        <v>83</v>
      </c>
      <c r="H236" t="s">
        <v>57</v>
      </c>
      <c r="I236" t="s">
        <v>10</v>
      </c>
      <c r="J236" t="s">
        <v>125</v>
      </c>
      <c r="K236">
        <v>5</v>
      </c>
      <c r="L236" s="2">
        <v>337.7</v>
      </c>
      <c r="M236" s="3">
        <v>0.05</v>
      </c>
      <c r="N236" s="2">
        <v>1604.07</v>
      </c>
      <c r="O236" s="2">
        <v>1343.38</v>
      </c>
      <c r="P236" s="2">
        <v>260.69</v>
      </c>
      <c r="Q236" t="s">
        <v>53</v>
      </c>
    </row>
    <row r="237" spans="1:17">
      <c r="A237" t="s">
        <v>328</v>
      </c>
      <c r="B237" s="1">
        <v>45780</v>
      </c>
      <c r="C237" s="1" t="str">
        <f t="shared" si="6"/>
        <v>May 2025</v>
      </c>
      <c r="D237" s="1">
        <f t="shared" si="7"/>
        <v>45778</v>
      </c>
      <c r="E237" t="s">
        <v>4</v>
      </c>
      <c r="F237" t="s">
        <v>49</v>
      </c>
      <c r="G237" t="s">
        <v>50</v>
      </c>
      <c r="H237" t="s">
        <v>57</v>
      </c>
      <c r="I237" t="s">
        <v>12</v>
      </c>
      <c r="J237" t="s">
        <v>87</v>
      </c>
      <c r="K237">
        <v>1</v>
      </c>
      <c r="L237" s="2">
        <v>12.63</v>
      </c>
      <c r="M237" s="3">
        <v>0.15</v>
      </c>
      <c r="N237" s="2">
        <v>10.74</v>
      </c>
      <c r="O237" s="2">
        <v>8.0399999999999991</v>
      </c>
      <c r="P237" s="2">
        <v>2.7</v>
      </c>
      <c r="Q237" t="s">
        <v>68</v>
      </c>
    </row>
    <row r="238" spans="1:17">
      <c r="A238" t="s">
        <v>329</v>
      </c>
      <c r="B238" s="1">
        <v>45907</v>
      </c>
      <c r="C238" s="1" t="str">
        <f t="shared" si="6"/>
        <v>Sep 2025</v>
      </c>
      <c r="D238" s="1">
        <f t="shared" si="7"/>
        <v>45901</v>
      </c>
      <c r="E238" t="s">
        <v>7</v>
      </c>
      <c r="F238" t="s">
        <v>101</v>
      </c>
      <c r="G238" t="s">
        <v>83</v>
      </c>
      <c r="H238" t="s">
        <v>51</v>
      </c>
      <c r="I238" t="s">
        <v>10</v>
      </c>
      <c r="J238" t="s">
        <v>102</v>
      </c>
      <c r="K238">
        <v>4</v>
      </c>
      <c r="L238" s="2">
        <v>41.68</v>
      </c>
      <c r="M238" s="3">
        <v>0</v>
      </c>
      <c r="N238" s="2">
        <v>166.72</v>
      </c>
      <c r="O238" s="2">
        <v>114.45</v>
      </c>
      <c r="P238" s="2">
        <v>52.27</v>
      </c>
      <c r="Q238" t="s">
        <v>59</v>
      </c>
    </row>
    <row r="239" spans="1:17">
      <c r="A239" t="s">
        <v>330</v>
      </c>
      <c r="B239" s="1">
        <v>45888</v>
      </c>
      <c r="C239" s="1" t="str">
        <f t="shared" si="6"/>
        <v>Aug 2025</v>
      </c>
      <c r="D239" s="1">
        <f t="shared" si="7"/>
        <v>45870</v>
      </c>
      <c r="E239" t="s">
        <v>7</v>
      </c>
      <c r="F239" t="s">
        <v>117</v>
      </c>
      <c r="G239" t="s">
        <v>91</v>
      </c>
      <c r="H239" t="s">
        <v>57</v>
      </c>
      <c r="I239" t="s">
        <v>10</v>
      </c>
      <c r="J239" t="s">
        <v>130</v>
      </c>
      <c r="K239">
        <v>5</v>
      </c>
      <c r="L239" s="2">
        <v>199.69</v>
      </c>
      <c r="M239" s="3">
        <v>0.1</v>
      </c>
      <c r="N239" s="2">
        <v>898.61</v>
      </c>
      <c r="O239" s="2">
        <v>560.09</v>
      </c>
      <c r="P239" s="2">
        <v>338.52</v>
      </c>
      <c r="Q239" t="s">
        <v>75</v>
      </c>
    </row>
    <row r="240" spans="1:17">
      <c r="A240" t="s">
        <v>331</v>
      </c>
      <c r="B240" s="1">
        <v>45870</v>
      </c>
      <c r="C240" s="1" t="str">
        <f t="shared" si="6"/>
        <v>Aug 2025</v>
      </c>
      <c r="D240" s="1">
        <f t="shared" si="7"/>
        <v>45870</v>
      </c>
      <c r="E240" t="s">
        <v>5</v>
      </c>
      <c r="F240" t="s">
        <v>97</v>
      </c>
      <c r="G240" t="s">
        <v>94</v>
      </c>
      <c r="H240" t="s">
        <v>57</v>
      </c>
      <c r="I240" t="s">
        <v>10</v>
      </c>
      <c r="J240" t="s">
        <v>67</v>
      </c>
      <c r="K240">
        <v>2</v>
      </c>
      <c r="L240" s="2">
        <v>192.82</v>
      </c>
      <c r="M240" s="3">
        <v>0</v>
      </c>
      <c r="N240" s="2">
        <v>385.64</v>
      </c>
      <c r="O240" s="2">
        <v>292.61</v>
      </c>
      <c r="P240" s="2">
        <v>93.03</v>
      </c>
      <c r="Q240" t="s">
        <v>68</v>
      </c>
    </row>
    <row r="241" spans="1:17">
      <c r="A241" t="s">
        <v>332</v>
      </c>
      <c r="B241" s="1">
        <v>45933</v>
      </c>
      <c r="C241" s="1" t="str">
        <f t="shared" si="6"/>
        <v>Oct 2025</v>
      </c>
      <c r="D241" s="1">
        <f t="shared" si="7"/>
        <v>45931</v>
      </c>
      <c r="E241" t="s">
        <v>8</v>
      </c>
      <c r="F241" t="s">
        <v>90</v>
      </c>
      <c r="G241" t="s">
        <v>85</v>
      </c>
      <c r="H241" t="s">
        <v>57</v>
      </c>
      <c r="I241" t="s">
        <v>12</v>
      </c>
      <c r="J241" t="s">
        <v>112</v>
      </c>
      <c r="K241">
        <v>4</v>
      </c>
      <c r="L241" s="2">
        <v>8.1999999999999993</v>
      </c>
      <c r="M241" s="3">
        <v>0.1</v>
      </c>
      <c r="N241" s="2">
        <v>29.52</v>
      </c>
      <c r="O241" s="2">
        <v>22.47</v>
      </c>
      <c r="P241" s="2">
        <v>7.05</v>
      </c>
      <c r="Q241" t="s">
        <v>59</v>
      </c>
    </row>
    <row r="242" spans="1:17">
      <c r="A242" t="s">
        <v>333</v>
      </c>
      <c r="B242" s="1">
        <v>45935</v>
      </c>
      <c r="C242" s="1" t="str">
        <f t="shared" si="6"/>
        <v>Oct 2025</v>
      </c>
      <c r="D242" s="1">
        <f t="shared" si="7"/>
        <v>45931</v>
      </c>
      <c r="E242" t="s">
        <v>5</v>
      </c>
      <c r="F242" t="s">
        <v>97</v>
      </c>
      <c r="G242" t="s">
        <v>94</v>
      </c>
      <c r="H242" t="s">
        <v>57</v>
      </c>
      <c r="I242" t="s">
        <v>11</v>
      </c>
      <c r="J242" t="s">
        <v>63</v>
      </c>
      <c r="K242">
        <v>3</v>
      </c>
      <c r="L242" s="2">
        <v>89.42</v>
      </c>
      <c r="M242" s="3">
        <v>0</v>
      </c>
      <c r="N242" s="2">
        <v>268.26</v>
      </c>
      <c r="O242" s="2">
        <v>198.73</v>
      </c>
      <c r="P242" s="2">
        <v>69.53</v>
      </c>
      <c r="Q242" t="s">
        <v>59</v>
      </c>
    </row>
    <row r="243" spans="1:17">
      <c r="A243" t="s">
        <v>334</v>
      </c>
      <c r="B243" s="1">
        <v>45836</v>
      </c>
      <c r="C243" s="1" t="str">
        <f t="shared" si="6"/>
        <v>Jun 2025</v>
      </c>
      <c r="D243" s="1">
        <f t="shared" si="7"/>
        <v>45809</v>
      </c>
      <c r="E243" t="s">
        <v>4</v>
      </c>
      <c r="F243" t="s">
        <v>104</v>
      </c>
      <c r="G243" t="s">
        <v>62</v>
      </c>
      <c r="H243" t="s">
        <v>66</v>
      </c>
      <c r="I243" t="s">
        <v>11</v>
      </c>
      <c r="J243" t="s">
        <v>63</v>
      </c>
      <c r="K243">
        <v>5</v>
      </c>
      <c r="L243" s="2">
        <v>74.069999999999993</v>
      </c>
      <c r="M243" s="3">
        <v>0</v>
      </c>
      <c r="N243" s="2">
        <v>370.35</v>
      </c>
      <c r="O243" s="2">
        <v>215.9</v>
      </c>
      <c r="P243" s="2">
        <v>154.44999999999999</v>
      </c>
      <c r="Q243" t="s">
        <v>75</v>
      </c>
    </row>
    <row r="244" spans="1:17">
      <c r="A244" t="s">
        <v>335</v>
      </c>
      <c r="B244" s="1">
        <v>45742</v>
      </c>
      <c r="C244" s="1" t="str">
        <f t="shared" si="6"/>
        <v>Mar 2025</v>
      </c>
      <c r="D244" s="1">
        <f t="shared" si="7"/>
        <v>45717</v>
      </c>
      <c r="E244" t="s">
        <v>4</v>
      </c>
      <c r="F244" t="s">
        <v>55</v>
      </c>
      <c r="G244" t="s">
        <v>83</v>
      </c>
      <c r="H244" t="s">
        <v>57</v>
      </c>
      <c r="I244" t="s">
        <v>10</v>
      </c>
      <c r="J244" t="s">
        <v>125</v>
      </c>
      <c r="K244">
        <v>4</v>
      </c>
      <c r="L244" s="2">
        <v>345.27</v>
      </c>
      <c r="M244" s="3">
        <v>0</v>
      </c>
      <c r="N244" s="2">
        <v>1381.08</v>
      </c>
      <c r="O244" s="2">
        <v>954.36</v>
      </c>
      <c r="P244" s="2">
        <v>426.72</v>
      </c>
      <c r="Q244" t="s">
        <v>59</v>
      </c>
    </row>
    <row r="245" spans="1:17">
      <c r="A245" t="s">
        <v>336</v>
      </c>
      <c r="B245" s="1">
        <v>45806</v>
      </c>
      <c r="C245" s="1" t="str">
        <f t="shared" si="6"/>
        <v>May 2025</v>
      </c>
      <c r="D245" s="1">
        <f t="shared" si="7"/>
        <v>45778</v>
      </c>
      <c r="E245" t="s">
        <v>7</v>
      </c>
      <c r="F245" t="s">
        <v>61</v>
      </c>
      <c r="G245" t="s">
        <v>71</v>
      </c>
      <c r="H245" t="s">
        <v>66</v>
      </c>
      <c r="I245" t="s">
        <v>10</v>
      </c>
      <c r="J245" t="s">
        <v>80</v>
      </c>
      <c r="K245">
        <v>8</v>
      </c>
      <c r="L245" s="2">
        <v>151.97999999999999</v>
      </c>
      <c r="M245" s="3">
        <v>0</v>
      </c>
      <c r="N245" s="2">
        <v>1215.8399999999999</v>
      </c>
      <c r="O245" s="2">
        <v>681.69</v>
      </c>
      <c r="P245" s="2">
        <v>534.15</v>
      </c>
      <c r="Q245" t="s">
        <v>68</v>
      </c>
    </row>
    <row r="246" spans="1:17">
      <c r="A246" t="s">
        <v>337</v>
      </c>
      <c r="B246" s="1">
        <v>46017</v>
      </c>
      <c r="C246" s="1" t="str">
        <f t="shared" si="6"/>
        <v>Dec 2025</v>
      </c>
      <c r="D246" s="1">
        <f t="shared" si="7"/>
        <v>45992</v>
      </c>
      <c r="E246" t="s">
        <v>7</v>
      </c>
      <c r="F246" t="s">
        <v>101</v>
      </c>
      <c r="G246" t="s">
        <v>83</v>
      </c>
      <c r="H246" t="s">
        <v>66</v>
      </c>
      <c r="I246" t="s">
        <v>11</v>
      </c>
      <c r="J246" t="s">
        <v>58</v>
      </c>
      <c r="K246">
        <v>1</v>
      </c>
      <c r="L246" s="2">
        <v>43.69</v>
      </c>
      <c r="M246" s="3">
        <v>0</v>
      </c>
      <c r="N246" s="2">
        <v>43.69</v>
      </c>
      <c r="O246" s="2">
        <v>32.700000000000003</v>
      </c>
      <c r="P246" s="2">
        <v>10.99</v>
      </c>
      <c r="Q246" t="s">
        <v>59</v>
      </c>
    </row>
    <row r="247" spans="1:17">
      <c r="A247" t="s">
        <v>338</v>
      </c>
      <c r="B247" s="1">
        <v>45979</v>
      </c>
      <c r="C247" s="1" t="str">
        <f t="shared" si="6"/>
        <v>Nov 2025</v>
      </c>
      <c r="D247" s="1">
        <f t="shared" si="7"/>
        <v>45962</v>
      </c>
      <c r="E247" t="s">
        <v>6</v>
      </c>
      <c r="F247" t="s">
        <v>65</v>
      </c>
      <c r="G247" t="s">
        <v>62</v>
      </c>
      <c r="H247" t="s">
        <v>57</v>
      </c>
      <c r="I247" t="s">
        <v>12</v>
      </c>
      <c r="J247" t="s">
        <v>138</v>
      </c>
      <c r="K247">
        <v>2</v>
      </c>
      <c r="L247" s="2">
        <v>29.1</v>
      </c>
      <c r="M247" s="3">
        <v>0</v>
      </c>
      <c r="N247" s="2">
        <v>58.2</v>
      </c>
      <c r="O247" s="2">
        <v>37.299999999999997</v>
      </c>
      <c r="P247" s="2">
        <v>20.9</v>
      </c>
      <c r="Q247" t="s">
        <v>75</v>
      </c>
    </row>
    <row r="248" spans="1:17">
      <c r="A248" t="s">
        <v>339</v>
      </c>
      <c r="B248" s="1">
        <v>45825</v>
      </c>
      <c r="C248" s="1" t="str">
        <f t="shared" si="6"/>
        <v>Jun 2025</v>
      </c>
      <c r="D248" s="1">
        <f t="shared" si="7"/>
        <v>45809</v>
      </c>
      <c r="E248" t="s">
        <v>7</v>
      </c>
      <c r="F248" t="s">
        <v>117</v>
      </c>
      <c r="G248" t="s">
        <v>62</v>
      </c>
      <c r="H248" t="s">
        <v>51</v>
      </c>
      <c r="I248" t="s">
        <v>10</v>
      </c>
      <c r="J248" t="s">
        <v>130</v>
      </c>
      <c r="K248">
        <v>5</v>
      </c>
      <c r="L248" s="2">
        <v>195.55</v>
      </c>
      <c r="M248" s="3">
        <v>0</v>
      </c>
      <c r="N248" s="2">
        <v>977.75</v>
      </c>
      <c r="O248" s="2">
        <v>722.83</v>
      </c>
      <c r="P248" s="2">
        <v>254.92</v>
      </c>
      <c r="Q248" t="s">
        <v>75</v>
      </c>
    </row>
    <row r="249" spans="1:17">
      <c r="A249" t="s">
        <v>340</v>
      </c>
      <c r="B249" s="1">
        <v>45769</v>
      </c>
      <c r="C249" s="1" t="str">
        <f t="shared" si="6"/>
        <v>Apr 2025</v>
      </c>
      <c r="D249" s="1">
        <f t="shared" si="7"/>
        <v>45748</v>
      </c>
      <c r="E249" t="s">
        <v>4</v>
      </c>
      <c r="F249" t="s">
        <v>49</v>
      </c>
      <c r="G249" t="s">
        <v>91</v>
      </c>
      <c r="H249" t="s">
        <v>57</v>
      </c>
      <c r="I249" t="s">
        <v>12</v>
      </c>
      <c r="J249" t="s">
        <v>112</v>
      </c>
      <c r="K249">
        <v>3</v>
      </c>
      <c r="L249" s="2">
        <v>7.77</v>
      </c>
      <c r="M249" s="3">
        <v>0.05</v>
      </c>
      <c r="N249" s="2">
        <v>22.14</v>
      </c>
      <c r="O249" s="2">
        <v>14.48</v>
      </c>
      <c r="P249" s="2">
        <v>7.66</v>
      </c>
      <c r="Q249" t="s">
        <v>53</v>
      </c>
    </row>
    <row r="250" spans="1:17">
      <c r="A250" t="s">
        <v>341</v>
      </c>
      <c r="B250" s="1">
        <v>45681</v>
      </c>
      <c r="C250" s="1" t="str">
        <f t="shared" si="6"/>
        <v>Jan 2025</v>
      </c>
      <c r="D250" s="1">
        <f t="shared" si="7"/>
        <v>45658</v>
      </c>
      <c r="E250" t="s">
        <v>8</v>
      </c>
      <c r="F250" t="s">
        <v>70</v>
      </c>
      <c r="G250" t="s">
        <v>56</v>
      </c>
      <c r="H250" t="s">
        <v>66</v>
      </c>
      <c r="I250" t="s">
        <v>11</v>
      </c>
      <c r="J250" t="s">
        <v>63</v>
      </c>
      <c r="K250">
        <v>1</v>
      </c>
      <c r="L250" s="2">
        <v>88.36</v>
      </c>
      <c r="M250" s="3">
        <v>0</v>
      </c>
      <c r="N250" s="2">
        <v>88.36</v>
      </c>
      <c r="O250" s="2">
        <v>57.64</v>
      </c>
      <c r="P250" s="2">
        <v>30.72</v>
      </c>
      <c r="Q250" t="s">
        <v>68</v>
      </c>
    </row>
    <row r="251" spans="1:17">
      <c r="A251" t="s">
        <v>342</v>
      </c>
      <c r="B251" s="1">
        <v>45990</v>
      </c>
      <c r="C251" s="1" t="str">
        <f t="shared" si="6"/>
        <v>Nov 2025</v>
      </c>
      <c r="D251" s="1">
        <f t="shared" si="7"/>
        <v>45962</v>
      </c>
      <c r="E251" t="s">
        <v>6</v>
      </c>
      <c r="F251" t="s">
        <v>109</v>
      </c>
      <c r="G251" t="s">
        <v>62</v>
      </c>
      <c r="H251" t="s">
        <v>66</v>
      </c>
      <c r="I251" t="s">
        <v>12</v>
      </c>
      <c r="J251" t="s">
        <v>112</v>
      </c>
      <c r="K251">
        <v>5</v>
      </c>
      <c r="L251" s="2">
        <v>8.74</v>
      </c>
      <c r="M251" s="3">
        <v>0</v>
      </c>
      <c r="N251" s="2">
        <v>43.7</v>
      </c>
      <c r="O251" s="2">
        <v>31.31</v>
      </c>
      <c r="P251" s="2">
        <v>12.39</v>
      </c>
      <c r="Q251" t="s">
        <v>68</v>
      </c>
    </row>
    <row r="252" spans="1:17">
      <c r="A252" t="s">
        <v>343</v>
      </c>
      <c r="B252" s="1">
        <v>45684</v>
      </c>
      <c r="C252" s="1" t="str">
        <f t="shared" si="6"/>
        <v>Jan 2025</v>
      </c>
      <c r="D252" s="1">
        <f t="shared" si="7"/>
        <v>45658</v>
      </c>
      <c r="E252" t="s">
        <v>8</v>
      </c>
      <c r="F252" t="s">
        <v>82</v>
      </c>
      <c r="G252" t="s">
        <v>56</v>
      </c>
      <c r="H252" t="s">
        <v>57</v>
      </c>
      <c r="I252" t="s">
        <v>12</v>
      </c>
      <c r="J252" t="s">
        <v>74</v>
      </c>
      <c r="K252">
        <v>4</v>
      </c>
      <c r="L252" s="2">
        <v>10.66</v>
      </c>
      <c r="M252" s="3">
        <v>0.1</v>
      </c>
      <c r="N252" s="2">
        <v>38.380000000000003</v>
      </c>
      <c r="O252" s="2">
        <v>30.56</v>
      </c>
      <c r="P252" s="2">
        <v>7.82</v>
      </c>
      <c r="Q252" t="s">
        <v>53</v>
      </c>
    </row>
    <row r="253" spans="1:17">
      <c r="A253" t="s">
        <v>344</v>
      </c>
      <c r="B253" s="1">
        <v>45725</v>
      </c>
      <c r="C253" s="1" t="str">
        <f t="shared" si="6"/>
        <v>Mar 2025</v>
      </c>
      <c r="D253" s="1">
        <f t="shared" si="7"/>
        <v>45717</v>
      </c>
      <c r="E253" t="s">
        <v>8</v>
      </c>
      <c r="F253" t="s">
        <v>70</v>
      </c>
      <c r="G253" t="s">
        <v>83</v>
      </c>
      <c r="H253" t="s">
        <v>57</v>
      </c>
      <c r="I253" t="s">
        <v>10</v>
      </c>
      <c r="J253" t="s">
        <v>125</v>
      </c>
      <c r="K253">
        <v>3</v>
      </c>
      <c r="L253" s="2">
        <v>319.33</v>
      </c>
      <c r="M253" s="3">
        <v>0</v>
      </c>
      <c r="N253" s="2">
        <v>957.99</v>
      </c>
      <c r="O253" s="2">
        <v>698.07</v>
      </c>
      <c r="P253" s="2">
        <v>259.92</v>
      </c>
      <c r="Q253" t="s">
        <v>53</v>
      </c>
    </row>
    <row r="254" spans="1:17">
      <c r="A254" t="s">
        <v>345</v>
      </c>
      <c r="B254" s="1">
        <v>45775</v>
      </c>
      <c r="C254" s="1" t="str">
        <f t="shared" si="6"/>
        <v>Apr 2025</v>
      </c>
      <c r="D254" s="1">
        <f t="shared" si="7"/>
        <v>45748</v>
      </c>
      <c r="E254" t="s">
        <v>6</v>
      </c>
      <c r="F254" t="s">
        <v>109</v>
      </c>
      <c r="G254" t="s">
        <v>50</v>
      </c>
      <c r="H254" t="s">
        <v>51</v>
      </c>
      <c r="I254" t="s">
        <v>12</v>
      </c>
      <c r="J254" t="s">
        <v>87</v>
      </c>
      <c r="K254">
        <v>4</v>
      </c>
      <c r="L254" s="2">
        <v>11.07</v>
      </c>
      <c r="M254" s="3">
        <v>0.05</v>
      </c>
      <c r="N254" s="2">
        <v>42.07</v>
      </c>
      <c r="O254" s="2">
        <v>27.91</v>
      </c>
      <c r="P254" s="2">
        <v>14.16</v>
      </c>
      <c r="Q254" t="s">
        <v>68</v>
      </c>
    </row>
    <row r="255" spans="1:17">
      <c r="A255" t="s">
        <v>346</v>
      </c>
      <c r="B255" s="1">
        <v>45693</v>
      </c>
      <c r="C255" s="1" t="str">
        <f t="shared" si="6"/>
        <v>Feb 2025</v>
      </c>
      <c r="D255" s="1">
        <f t="shared" si="7"/>
        <v>45689</v>
      </c>
      <c r="E255" t="s">
        <v>5</v>
      </c>
      <c r="F255" t="s">
        <v>73</v>
      </c>
      <c r="G255" t="s">
        <v>83</v>
      </c>
      <c r="H255" t="s">
        <v>57</v>
      </c>
      <c r="I255" t="s">
        <v>10</v>
      </c>
      <c r="J255" t="s">
        <v>102</v>
      </c>
      <c r="K255">
        <v>1</v>
      </c>
      <c r="L255" s="2">
        <v>41.72</v>
      </c>
      <c r="M255" s="3">
        <v>0.1</v>
      </c>
      <c r="N255" s="2">
        <v>37.549999999999997</v>
      </c>
      <c r="O255" s="2">
        <v>26.09</v>
      </c>
      <c r="P255" s="2">
        <v>11.46</v>
      </c>
      <c r="Q255" t="s">
        <v>75</v>
      </c>
    </row>
    <row r="256" spans="1:17">
      <c r="A256" t="s">
        <v>347</v>
      </c>
      <c r="B256" s="1">
        <v>45769</v>
      </c>
      <c r="C256" s="1" t="str">
        <f t="shared" si="6"/>
        <v>Apr 2025</v>
      </c>
      <c r="D256" s="1">
        <f t="shared" si="7"/>
        <v>45748</v>
      </c>
      <c r="E256" t="s">
        <v>7</v>
      </c>
      <c r="F256" t="s">
        <v>101</v>
      </c>
      <c r="G256" t="s">
        <v>83</v>
      </c>
      <c r="H256" t="s">
        <v>51</v>
      </c>
      <c r="I256" t="s">
        <v>11</v>
      </c>
      <c r="J256" t="s">
        <v>52</v>
      </c>
      <c r="K256">
        <v>1</v>
      </c>
      <c r="L256" s="2">
        <v>23.18</v>
      </c>
      <c r="M256" s="3">
        <v>0.1</v>
      </c>
      <c r="N256" s="2">
        <v>20.86</v>
      </c>
      <c r="O256" s="2">
        <v>14.5</v>
      </c>
      <c r="P256" s="2">
        <v>6.36</v>
      </c>
      <c r="Q256" t="s">
        <v>59</v>
      </c>
    </row>
    <row r="257" spans="1:17">
      <c r="A257" t="s">
        <v>348</v>
      </c>
      <c r="B257" s="1">
        <v>45988</v>
      </c>
      <c r="C257" s="1" t="str">
        <f t="shared" si="6"/>
        <v>Nov 2025</v>
      </c>
      <c r="D257" s="1">
        <f t="shared" si="7"/>
        <v>45962</v>
      </c>
      <c r="E257" t="s">
        <v>8</v>
      </c>
      <c r="F257" t="s">
        <v>90</v>
      </c>
      <c r="G257" t="s">
        <v>71</v>
      </c>
      <c r="H257" t="s">
        <v>51</v>
      </c>
      <c r="I257" t="s">
        <v>11</v>
      </c>
      <c r="J257" t="s">
        <v>58</v>
      </c>
      <c r="K257">
        <v>3</v>
      </c>
      <c r="L257" s="2">
        <v>46.44</v>
      </c>
      <c r="M257" s="3">
        <v>0.15</v>
      </c>
      <c r="N257" s="2">
        <v>118.42</v>
      </c>
      <c r="O257" s="2">
        <v>84.35</v>
      </c>
      <c r="P257" s="2">
        <v>34.07</v>
      </c>
      <c r="Q257" t="s">
        <v>68</v>
      </c>
    </row>
    <row r="258" spans="1:17">
      <c r="A258" t="s">
        <v>349</v>
      </c>
      <c r="B258" s="1">
        <v>45858</v>
      </c>
      <c r="C258" s="1" t="str">
        <f t="shared" ref="C258:C321" si="8">TEXT(D258,"mmm yyyy")</f>
        <v>Jul 2025</v>
      </c>
      <c r="D258" s="1">
        <f t="shared" ref="D258:D321" si="9">DATE(YEAR(B258),MONTH(B258),1)</f>
        <v>45839</v>
      </c>
      <c r="E258" t="s">
        <v>8</v>
      </c>
      <c r="F258" t="s">
        <v>82</v>
      </c>
      <c r="G258" t="s">
        <v>91</v>
      </c>
      <c r="H258" t="s">
        <v>66</v>
      </c>
      <c r="I258" t="s">
        <v>12</v>
      </c>
      <c r="J258" t="s">
        <v>87</v>
      </c>
      <c r="K258">
        <v>4</v>
      </c>
      <c r="L258" s="2">
        <v>12.9</v>
      </c>
      <c r="M258" s="3">
        <v>0</v>
      </c>
      <c r="N258" s="2">
        <v>51.6</v>
      </c>
      <c r="O258" s="2">
        <v>34.49</v>
      </c>
      <c r="P258" s="2">
        <v>17.11</v>
      </c>
      <c r="Q258" t="s">
        <v>53</v>
      </c>
    </row>
    <row r="259" spans="1:17">
      <c r="A259" t="s">
        <v>350</v>
      </c>
      <c r="B259" s="1">
        <v>45928</v>
      </c>
      <c r="C259" s="1" t="str">
        <f t="shared" si="8"/>
        <v>Sep 2025</v>
      </c>
      <c r="D259" s="1">
        <f t="shared" si="9"/>
        <v>45901</v>
      </c>
      <c r="E259" t="s">
        <v>4</v>
      </c>
      <c r="F259" t="s">
        <v>104</v>
      </c>
      <c r="G259" t="s">
        <v>83</v>
      </c>
      <c r="H259" t="s">
        <v>57</v>
      </c>
      <c r="I259" t="s">
        <v>11</v>
      </c>
      <c r="J259" t="s">
        <v>115</v>
      </c>
      <c r="K259">
        <v>6</v>
      </c>
      <c r="L259" s="2">
        <v>204.39</v>
      </c>
      <c r="M259" s="3">
        <v>0.15</v>
      </c>
      <c r="N259" s="2">
        <v>1042.3900000000001</v>
      </c>
      <c r="O259" s="2">
        <v>792.53</v>
      </c>
      <c r="P259" s="2">
        <v>249.86</v>
      </c>
      <c r="Q259" t="s">
        <v>53</v>
      </c>
    </row>
    <row r="260" spans="1:17">
      <c r="A260" t="s">
        <v>351</v>
      </c>
      <c r="B260" s="1">
        <v>45666</v>
      </c>
      <c r="C260" s="1" t="str">
        <f t="shared" si="8"/>
        <v>Jan 2025</v>
      </c>
      <c r="D260" s="1">
        <f t="shared" si="9"/>
        <v>45658</v>
      </c>
      <c r="E260" t="s">
        <v>7</v>
      </c>
      <c r="F260" t="s">
        <v>117</v>
      </c>
      <c r="G260" t="s">
        <v>71</v>
      </c>
      <c r="H260" t="s">
        <v>66</v>
      </c>
      <c r="I260" t="s">
        <v>10</v>
      </c>
      <c r="J260" t="s">
        <v>130</v>
      </c>
      <c r="K260">
        <v>1</v>
      </c>
      <c r="L260" s="2">
        <v>170.54</v>
      </c>
      <c r="M260" s="3">
        <v>0</v>
      </c>
      <c r="N260" s="2">
        <v>170.54</v>
      </c>
      <c r="O260" s="2">
        <v>137.22</v>
      </c>
      <c r="P260" s="2">
        <v>33.32</v>
      </c>
      <c r="Q260" t="s">
        <v>75</v>
      </c>
    </row>
    <row r="261" spans="1:17">
      <c r="A261" t="s">
        <v>352</v>
      </c>
      <c r="B261" s="1">
        <v>45874</v>
      </c>
      <c r="C261" s="1" t="str">
        <f t="shared" si="8"/>
        <v>Aug 2025</v>
      </c>
      <c r="D261" s="1">
        <f t="shared" si="9"/>
        <v>45870</v>
      </c>
      <c r="E261" t="s">
        <v>8</v>
      </c>
      <c r="F261" t="s">
        <v>70</v>
      </c>
      <c r="G261" t="s">
        <v>85</v>
      </c>
      <c r="H261" t="s">
        <v>66</v>
      </c>
      <c r="I261" t="s">
        <v>10</v>
      </c>
      <c r="J261" t="s">
        <v>67</v>
      </c>
      <c r="K261">
        <v>1</v>
      </c>
      <c r="L261" s="2">
        <v>213.79</v>
      </c>
      <c r="M261" s="3">
        <v>0.15</v>
      </c>
      <c r="N261" s="2">
        <v>181.72</v>
      </c>
      <c r="O261" s="2">
        <v>120.96</v>
      </c>
      <c r="P261" s="2">
        <v>60.76</v>
      </c>
      <c r="Q261" t="s">
        <v>68</v>
      </c>
    </row>
    <row r="262" spans="1:17">
      <c r="A262" t="s">
        <v>353</v>
      </c>
      <c r="B262" s="1">
        <v>45737</v>
      </c>
      <c r="C262" s="1" t="str">
        <f t="shared" si="8"/>
        <v>Mar 2025</v>
      </c>
      <c r="D262" s="1">
        <f t="shared" si="9"/>
        <v>45717</v>
      </c>
      <c r="E262" t="s">
        <v>7</v>
      </c>
      <c r="F262" t="s">
        <v>117</v>
      </c>
      <c r="G262" t="s">
        <v>56</v>
      </c>
      <c r="H262" t="s">
        <v>51</v>
      </c>
      <c r="I262" t="s">
        <v>10</v>
      </c>
      <c r="J262" t="s">
        <v>80</v>
      </c>
      <c r="K262">
        <v>2</v>
      </c>
      <c r="L262" s="2">
        <v>155.93</v>
      </c>
      <c r="M262" s="3">
        <v>0</v>
      </c>
      <c r="N262" s="2">
        <v>311.86</v>
      </c>
      <c r="O262" s="2">
        <v>191.19</v>
      </c>
      <c r="P262" s="2">
        <v>120.67</v>
      </c>
      <c r="Q262" t="s">
        <v>68</v>
      </c>
    </row>
    <row r="263" spans="1:17">
      <c r="A263" t="s">
        <v>354</v>
      </c>
      <c r="B263" s="1">
        <v>45702</v>
      </c>
      <c r="C263" s="1" t="str">
        <f t="shared" si="8"/>
        <v>Feb 2025</v>
      </c>
      <c r="D263" s="1">
        <f t="shared" si="9"/>
        <v>45689</v>
      </c>
      <c r="E263" t="s">
        <v>5</v>
      </c>
      <c r="F263" t="s">
        <v>79</v>
      </c>
      <c r="G263" t="s">
        <v>94</v>
      </c>
      <c r="H263" t="s">
        <v>66</v>
      </c>
      <c r="I263" t="s">
        <v>12</v>
      </c>
      <c r="J263" t="s">
        <v>87</v>
      </c>
      <c r="K263">
        <v>2</v>
      </c>
      <c r="L263" s="2">
        <v>12.41</v>
      </c>
      <c r="M263" s="3">
        <v>0.05</v>
      </c>
      <c r="N263" s="2">
        <v>23.58</v>
      </c>
      <c r="O263" s="2">
        <v>17.87</v>
      </c>
      <c r="P263" s="2">
        <v>5.71</v>
      </c>
      <c r="Q263" t="s">
        <v>68</v>
      </c>
    </row>
    <row r="264" spans="1:17">
      <c r="A264" t="s">
        <v>355</v>
      </c>
      <c r="B264" s="1">
        <v>46017</v>
      </c>
      <c r="C264" s="1" t="str">
        <f t="shared" si="8"/>
        <v>Dec 2025</v>
      </c>
      <c r="D264" s="1">
        <f t="shared" si="9"/>
        <v>45992</v>
      </c>
      <c r="E264" t="s">
        <v>6</v>
      </c>
      <c r="F264" t="s">
        <v>109</v>
      </c>
      <c r="G264" t="s">
        <v>62</v>
      </c>
      <c r="H264" t="s">
        <v>51</v>
      </c>
      <c r="I264" t="s">
        <v>11</v>
      </c>
      <c r="J264" t="s">
        <v>58</v>
      </c>
      <c r="K264">
        <v>3</v>
      </c>
      <c r="L264" s="2">
        <v>43.93</v>
      </c>
      <c r="M264" s="3">
        <v>0.15</v>
      </c>
      <c r="N264" s="2">
        <v>112.02</v>
      </c>
      <c r="O264" s="2">
        <v>99.49</v>
      </c>
      <c r="P264" s="2">
        <v>12.53</v>
      </c>
      <c r="Q264" t="s">
        <v>59</v>
      </c>
    </row>
    <row r="265" spans="1:17">
      <c r="A265" t="s">
        <v>356</v>
      </c>
      <c r="B265" s="1">
        <v>45718</v>
      </c>
      <c r="C265" s="1" t="str">
        <f t="shared" si="8"/>
        <v>Mar 2025</v>
      </c>
      <c r="D265" s="1">
        <f t="shared" si="9"/>
        <v>45717</v>
      </c>
      <c r="E265" t="s">
        <v>4</v>
      </c>
      <c r="F265" t="s">
        <v>104</v>
      </c>
      <c r="G265" t="s">
        <v>85</v>
      </c>
      <c r="H265" t="s">
        <v>57</v>
      </c>
      <c r="I265" t="s">
        <v>11</v>
      </c>
      <c r="J265" t="s">
        <v>115</v>
      </c>
      <c r="K265">
        <v>5</v>
      </c>
      <c r="L265" s="2">
        <v>211.16</v>
      </c>
      <c r="M265" s="3">
        <v>0</v>
      </c>
      <c r="N265" s="2">
        <v>1055.8</v>
      </c>
      <c r="O265" s="2">
        <v>632.29999999999995</v>
      </c>
      <c r="P265" s="2">
        <v>423.5</v>
      </c>
      <c r="Q265" t="s">
        <v>75</v>
      </c>
    </row>
    <row r="266" spans="1:17">
      <c r="A266" t="s">
        <v>357</v>
      </c>
      <c r="B266" s="1">
        <v>45919</v>
      </c>
      <c r="C266" s="1" t="str">
        <f t="shared" si="8"/>
        <v>Sep 2025</v>
      </c>
      <c r="D266" s="1">
        <f t="shared" si="9"/>
        <v>45901</v>
      </c>
      <c r="E266" t="s">
        <v>8</v>
      </c>
      <c r="F266" t="s">
        <v>90</v>
      </c>
      <c r="G266" t="s">
        <v>85</v>
      </c>
      <c r="H266" t="s">
        <v>51</v>
      </c>
      <c r="I266" t="s">
        <v>12</v>
      </c>
      <c r="J266" t="s">
        <v>87</v>
      </c>
      <c r="K266">
        <v>3</v>
      </c>
      <c r="L266" s="2">
        <v>12.3</v>
      </c>
      <c r="M266" s="3">
        <v>0.05</v>
      </c>
      <c r="N266" s="2">
        <v>35.06</v>
      </c>
      <c r="O266" s="2">
        <v>20.93</v>
      </c>
      <c r="P266" s="2">
        <v>14.13</v>
      </c>
      <c r="Q266" t="s">
        <v>53</v>
      </c>
    </row>
    <row r="267" spans="1:17">
      <c r="A267" t="s">
        <v>358</v>
      </c>
      <c r="B267" s="1">
        <v>45680</v>
      </c>
      <c r="C267" s="1" t="str">
        <f t="shared" si="8"/>
        <v>Jan 2025</v>
      </c>
      <c r="D267" s="1">
        <f t="shared" si="9"/>
        <v>45658</v>
      </c>
      <c r="E267" t="s">
        <v>8</v>
      </c>
      <c r="F267" t="s">
        <v>90</v>
      </c>
      <c r="G267" t="s">
        <v>50</v>
      </c>
      <c r="H267" t="s">
        <v>51</v>
      </c>
      <c r="I267" t="s">
        <v>11</v>
      </c>
      <c r="J267" t="s">
        <v>58</v>
      </c>
      <c r="K267">
        <v>1</v>
      </c>
      <c r="L267" s="2">
        <v>44.1</v>
      </c>
      <c r="M267" s="3">
        <v>0</v>
      </c>
      <c r="N267" s="2">
        <v>44.1</v>
      </c>
      <c r="O267" s="2">
        <v>25.3</v>
      </c>
      <c r="P267" s="2">
        <v>18.8</v>
      </c>
      <c r="Q267" t="s">
        <v>59</v>
      </c>
    </row>
    <row r="268" spans="1:17">
      <c r="A268" t="s">
        <v>359</v>
      </c>
      <c r="B268" s="1">
        <v>45785</v>
      </c>
      <c r="C268" s="1" t="str">
        <f t="shared" si="8"/>
        <v>May 2025</v>
      </c>
      <c r="D268" s="1">
        <f t="shared" si="9"/>
        <v>45778</v>
      </c>
      <c r="E268" t="s">
        <v>8</v>
      </c>
      <c r="F268" t="s">
        <v>82</v>
      </c>
      <c r="G268" t="s">
        <v>56</v>
      </c>
      <c r="H268" t="s">
        <v>66</v>
      </c>
      <c r="I268" t="s">
        <v>12</v>
      </c>
      <c r="J268" t="s">
        <v>74</v>
      </c>
      <c r="K268">
        <v>2</v>
      </c>
      <c r="L268" s="2">
        <v>9.17</v>
      </c>
      <c r="M268" s="3">
        <v>0.05</v>
      </c>
      <c r="N268" s="2">
        <v>17.420000000000002</v>
      </c>
      <c r="O268" s="2">
        <v>10.19</v>
      </c>
      <c r="P268" s="2">
        <v>7.23</v>
      </c>
      <c r="Q268" t="s">
        <v>53</v>
      </c>
    </row>
    <row r="269" spans="1:17">
      <c r="A269" t="s">
        <v>360</v>
      </c>
      <c r="B269" s="1">
        <v>45863</v>
      </c>
      <c r="C269" s="1" t="str">
        <f t="shared" si="8"/>
        <v>Jul 2025</v>
      </c>
      <c r="D269" s="1">
        <f t="shared" si="9"/>
        <v>45839</v>
      </c>
      <c r="E269" t="s">
        <v>4</v>
      </c>
      <c r="F269" t="s">
        <v>55</v>
      </c>
      <c r="G269" t="s">
        <v>94</v>
      </c>
      <c r="H269" t="s">
        <v>57</v>
      </c>
      <c r="I269" t="s">
        <v>11</v>
      </c>
      <c r="J269" t="s">
        <v>63</v>
      </c>
      <c r="K269">
        <v>5</v>
      </c>
      <c r="L269" s="2">
        <v>85.61</v>
      </c>
      <c r="M269" s="3">
        <v>0.05</v>
      </c>
      <c r="N269" s="2">
        <v>406.65</v>
      </c>
      <c r="O269" s="2">
        <v>264.62</v>
      </c>
      <c r="P269" s="2">
        <v>142.03</v>
      </c>
      <c r="Q269" t="s">
        <v>68</v>
      </c>
    </row>
    <row r="270" spans="1:17">
      <c r="A270" t="s">
        <v>361</v>
      </c>
      <c r="B270" s="1">
        <v>45807</v>
      </c>
      <c r="C270" s="1" t="str">
        <f t="shared" si="8"/>
        <v>May 2025</v>
      </c>
      <c r="D270" s="1">
        <f t="shared" si="9"/>
        <v>45778</v>
      </c>
      <c r="E270" t="s">
        <v>7</v>
      </c>
      <c r="F270" t="s">
        <v>61</v>
      </c>
      <c r="G270" t="s">
        <v>56</v>
      </c>
      <c r="H270" t="s">
        <v>51</v>
      </c>
      <c r="I270" t="s">
        <v>10</v>
      </c>
      <c r="J270" t="s">
        <v>80</v>
      </c>
      <c r="K270">
        <v>4</v>
      </c>
      <c r="L270" s="2">
        <v>143.01</v>
      </c>
      <c r="M270" s="3">
        <v>0.05</v>
      </c>
      <c r="N270" s="2">
        <v>543.44000000000005</v>
      </c>
      <c r="O270" s="2">
        <v>399</v>
      </c>
      <c r="P270" s="2">
        <v>144.44</v>
      </c>
      <c r="Q270" t="s">
        <v>53</v>
      </c>
    </row>
    <row r="271" spans="1:17">
      <c r="A271" t="s">
        <v>362</v>
      </c>
      <c r="B271" s="1">
        <v>45867</v>
      </c>
      <c r="C271" s="1" t="str">
        <f t="shared" si="8"/>
        <v>Jul 2025</v>
      </c>
      <c r="D271" s="1">
        <f t="shared" si="9"/>
        <v>45839</v>
      </c>
      <c r="E271" t="s">
        <v>8</v>
      </c>
      <c r="F271" t="s">
        <v>90</v>
      </c>
      <c r="G271" t="s">
        <v>50</v>
      </c>
      <c r="H271" t="s">
        <v>66</v>
      </c>
      <c r="I271" t="s">
        <v>11</v>
      </c>
      <c r="J271" t="s">
        <v>58</v>
      </c>
      <c r="K271">
        <v>3</v>
      </c>
      <c r="L271" s="2">
        <v>46.8</v>
      </c>
      <c r="M271" s="3">
        <v>0</v>
      </c>
      <c r="N271" s="2">
        <v>140.4</v>
      </c>
      <c r="O271" s="2">
        <v>113.06</v>
      </c>
      <c r="P271" s="2">
        <v>27.34</v>
      </c>
      <c r="Q271" t="s">
        <v>59</v>
      </c>
    </row>
    <row r="272" spans="1:17">
      <c r="A272" t="s">
        <v>363</v>
      </c>
      <c r="B272" s="1">
        <v>45711</v>
      </c>
      <c r="C272" s="1" t="str">
        <f t="shared" si="8"/>
        <v>Feb 2025</v>
      </c>
      <c r="D272" s="1">
        <f t="shared" si="9"/>
        <v>45689</v>
      </c>
      <c r="E272" t="s">
        <v>5</v>
      </c>
      <c r="F272" t="s">
        <v>73</v>
      </c>
      <c r="G272" t="s">
        <v>71</v>
      </c>
      <c r="H272" t="s">
        <v>51</v>
      </c>
      <c r="I272" t="s">
        <v>11</v>
      </c>
      <c r="J272" t="s">
        <v>107</v>
      </c>
      <c r="K272">
        <v>10</v>
      </c>
      <c r="L272" s="2">
        <v>54.58</v>
      </c>
      <c r="M272" s="3">
        <v>0</v>
      </c>
      <c r="N272" s="2">
        <v>545.79999999999995</v>
      </c>
      <c r="O272" s="2">
        <v>443.06</v>
      </c>
      <c r="P272" s="2">
        <v>102.74</v>
      </c>
      <c r="Q272" t="s">
        <v>53</v>
      </c>
    </row>
    <row r="273" spans="1:17">
      <c r="A273" t="s">
        <v>364</v>
      </c>
      <c r="B273" s="1">
        <v>45776</v>
      </c>
      <c r="C273" s="1" t="str">
        <f t="shared" si="8"/>
        <v>Apr 2025</v>
      </c>
      <c r="D273" s="1">
        <f t="shared" si="9"/>
        <v>45748</v>
      </c>
      <c r="E273" t="s">
        <v>4</v>
      </c>
      <c r="F273" t="s">
        <v>49</v>
      </c>
      <c r="G273" t="s">
        <v>50</v>
      </c>
      <c r="H273" t="s">
        <v>51</v>
      </c>
      <c r="I273" t="s">
        <v>10</v>
      </c>
      <c r="J273" t="s">
        <v>67</v>
      </c>
      <c r="K273">
        <v>4</v>
      </c>
      <c r="L273" s="2">
        <v>206.21</v>
      </c>
      <c r="M273" s="3">
        <v>0</v>
      </c>
      <c r="N273" s="2">
        <v>824.84</v>
      </c>
      <c r="O273" s="2">
        <v>572.63</v>
      </c>
      <c r="P273" s="2">
        <v>252.21</v>
      </c>
      <c r="Q273" t="s">
        <v>53</v>
      </c>
    </row>
    <row r="274" spans="1:17">
      <c r="A274" t="s">
        <v>365</v>
      </c>
      <c r="B274" s="1">
        <v>45880</v>
      </c>
      <c r="C274" s="1" t="str">
        <f t="shared" si="8"/>
        <v>Aug 2025</v>
      </c>
      <c r="D274" s="1">
        <f t="shared" si="9"/>
        <v>45870</v>
      </c>
      <c r="E274" t="s">
        <v>7</v>
      </c>
      <c r="F274" t="s">
        <v>117</v>
      </c>
      <c r="G274" t="s">
        <v>62</v>
      </c>
      <c r="H274" t="s">
        <v>57</v>
      </c>
      <c r="I274" t="s">
        <v>10</v>
      </c>
      <c r="J274" t="s">
        <v>125</v>
      </c>
      <c r="K274">
        <v>1</v>
      </c>
      <c r="L274" s="2">
        <v>306.37</v>
      </c>
      <c r="M274" s="3">
        <v>0.05</v>
      </c>
      <c r="N274" s="2">
        <v>291.05</v>
      </c>
      <c r="O274" s="2">
        <v>244.43</v>
      </c>
      <c r="P274" s="2">
        <v>46.62</v>
      </c>
      <c r="Q274" t="s">
        <v>75</v>
      </c>
    </row>
    <row r="275" spans="1:17">
      <c r="A275" t="s">
        <v>366</v>
      </c>
      <c r="B275" s="1">
        <v>45797</v>
      </c>
      <c r="C275" s="1" t="str">
        <f t="shared" si="8"/>
        <v>May 2025</v>
      </c>
      <c r="D275" s="1">
        <f t="shared" si="9"/>
        <v>45778</v>
      </c>
      <c r="E275" t="s">
        <v>8</v>
      </c>
      <c r="F275" t="s">
        <v>82</v>
      </c>
      <c r="G275" t="s">
        <v>91</v>
      </c>
      <c r="H275" t="s">
        <v>57</v>
      </c>
      <c r="I275" t="s">
        <v>11</v>
      </c>
      <c r="J275" t="s">
        <v>52</v>
      </c>
      <c r="K275">
        <v>8</v>
      </c>
      <c r="L275" s="2">
        <v>23.25</v>
      </c>
      <c r="M275" s="3">
        <v>0.15</v>
      </c>
      <c r="N275" s="2">
        <v>158.1</v>
      </c>
      <c r="O275" s="2">
        <v>102.8</v>
      </c>
      <c r="P275" s="2">
        <v>55.3</v>
      </c>
      <c r="Q275" t="s">
        <v>59</v>
      </c>
    </row>
    <row r="276" spans="1:17">
      <c r="A276" t="s">
        <v>367</v>
      </c>
      <c r="B276" s="1">
        <v>45866</v>
      </c>
      <c r="C276" s="1" t="str">
        <f t="shared" si="8"/>
        <v>Jul 2025</v>
      </c>
      <c r="D276" s="1">
        <f t="shared" si="9"/>
        <v>45839</v>
      </c>
      <c r="E276" t="s">
        <v>6</v>
      </c>
      <c r="F276" t="s">
        <v>109</v>
      </c>
      <c r="G276" t="s">
        <v>85</v>
      </c>
      <c r="H276" t="s">
        <v>51</v>
      </c>
      <c r="I276" t="s">
        <v>11</v>
      </c>
      <c r="J276" t="s">
        <v>107</v>
      </c>
      <c r="K276">
        <v>2</v>
      </c>
      <c r="L276" s="2">
        <v>58.82</v>
      </c>
      <c r="M276" s="3">
        <v>0.1</v>
      </c>
      <c r="N276" s="2">
        <v>105.88</v>
      </c>
      <c r="O276" s="2">
        <v>72.05</v>
      </c>
      <c r="P276" s="2">
        <v>33.83</v>
      </c>
      <c r="Q276" t="s">
        <v>59</v>
      </c>
    </row>
    <row r="277" spans="1:17">
      <c r="A277" t="s">
        <v>368</v>
      </c>
      <c r="B277" s="1">
        <v>46018</v>
      </c>
      <c r="C277" s="1" t="str">
        <f t="shared" si="8"/>
        <v>Dec 2025</v>
      </c>
      <c r="D277" s="1">
        <f t="shared" si="9"/>
        <v>45992</v>
      </c>
      <c r="E277" t="s">
        <v>5</v>
      </c>
      <c r="F277" t="s">
        <v>97</v>
      </c>
      <c r="G277" t="s">
        <v>50</v>
      </c>
      <c r="H277" t="s">
        <v>66</v>
      </c>
      <c r="I277" t="s">
        <v>10</v>
      </c>
      <c r="J277" t="s">
        <v>102</v>
      </c>
      <c r="K277">
        <v>1</v>
      </c>
      <c r="L277" s="2">
        <v>43.36</v>
      </c>
      <c r="M277" s="3">
        <v>0.05</v>
      </c>
      <c r="N277" s="2">
        <v>41.19</v>
      </c>
      <c r="O277" s="2">
        <v>24.48</v>
      </c>
      <c r="P277" s="2">
        <v>16.71</v>
      </c>
      <c r="Q277" t="s">
        <v>53</v>
      </c>
    </row>
    <row r="278" spans="1:17">
      <c r="A278" t="s">
        <v>369</v>
      </c>
      <c r="B278" s="1">
        <v>46004</v>
      </c>
      <c r="C278" s="1" t="str">
        <f t="shared" si="8"/>
        <v>Dec 2025</v>
      </c>
      <c r="D278" s="1">
        <f t="shared" si="9"/>
        <v>45992</v>
      </c>
      <c r="E278" t="s">
        <v>4</v>
      </c>
      <c r="F278" t="s">
        <v>104</v>
      </c>
      <c r="G278" t="s">
        <v>56</v>
      </c>
      <c r="H278" t="s">
        <v>51</v>
      </c>
      <c r="I278" t="s">
        <v>12</v>
      </c>
      <c r="J278" t="s">
        <v>74</v>
      </c>
      <c r="K278">
        <v>5</v>
      </c>
      <c r="L278" s="2">
        <v>9.3800000000000008</v>
      </c>
      <c r="M278" s="3">
        <v>0.1</v>
      </c>
      <c r="N278" s="2">
        <v>42.21</v>
      </c>
      <c r="O278" s="2">
        <v>36.409999999999997</v>
      </c>
      <c r="P278" s="2">
        <v>5.8</v>
      </c>
      <c r="Q278" t="s">
        <v>75</v>
      </c>
    </row>
    <row r="279" spans="1:17">
      <c r="A279" t="s">
        <v>370</v>
      </c>
      <c r="B279" s="1">
        <v>45710</v>
      </c>
      <c r="C279" s="1" t="str">
        <f t="shared" si="8"/>
        <v>Feb 2025</v>
      </c>
      <c r="D279" s="1">
        <f t="shared" si="9"/>
        <v>45689</v>
      </c>
      <c r="E279" t="s">
        <v>7</v>
      </c>
      <c r="F279" t="s">
        <v>101</v>
      </c>
      <c r="G279" t="s">
        <v>85</v>
      </c>
      <c r="H279" t="s">
        <v>66</v>
      </c>
      <c r="I279" t="s">
        <v>11</v>
      </c>
      <c r="J279" t="s">
        <v>52</v>
      </c>
      <c r="K279">
        <v>1</v>
      </c>
      <c r="L279" s="2">
        <v>27.07</v>
      </c>
      <c r="M279" s="3">
        <v>0</v>
      </c>
      <c r="N279" s="2">
        <v>27.07</v>
      </c>
      <c r="O279" s="2">
        <v>15.14</v>
      </c>
      <c r="P279" s="2">
        <v>11.93</v>
      </c>
      <c r="Q279" t="s">
        <v>59</v>
      </c>
    </row>
    <row r="280" spans="1:17">
      <c r="A280" t="s">
        <v>371</v>
      </c>
      <c r="B280" s="1">
        <v>45696</v>
      </c>
      <c r="C280" s="1" t="str">
        <f t="shared" si="8"/>
        <v>Feb 2025</v>
      </c>
      <c r="D280" s="1">
        <f t="shared" si="9"/>
        <v>45689</v>
      </c>
      <c r="E280" t="s">
        <v>6</v>
      </c>
      <c r="F280" t="s">
        <v>109</v>
      </c>
      <c r="G280" t="s">
        <v>94</v>
      </c>
      <c r="H280" t="s">
        <v>57</v>
      </c>
      <c r="I280" t="s">
        <v>11</v>
      </c>
      <c r="J280" t="s">
        <v>52</v>
      </c>
      <c r="K280">
        <v>1</v>
      </c>
      <c r="L280" s="2">
        <v>26.05</v>
      </c>
      <c r="M280" s="3">
        <v>0</v>
      </c>
      <c r="N280" s="2">
        <v>26.05</v>
      </c>
      <c r="O280" s="2">
        <v>14.26</v>
      </c>
      <c r="P280" s="2">
        <v>11.79</v>
      </c>
      <c r="Q280" t="s">
        <v>53</v>
      </c>
    </row>
    <row r="281" spans="1:17">
      <c r="A281" t="s">
        <v>372</v>
      </c>
      <c r="B281" s="1">
        <v>45744</v>
      </c>
      <c r="C281" s="1" t="str">
        <f t="shared" si="8"/>
        <v>Mar 2025</v>
      </c>
      <c r="D281" s="1">
        <f t="shared" si="9"/>
        <v>45717</v>
      </c>
      <c r="E281" t="s">
        <v>7</v>
      </c>
      <c r="F281" t="s">
        <v>61</v>
      </c>
      <c r="G281" t="s">
        <v>62</v>
      </c>
      <c r="H281" t="s">
        <v>51</v>
      </c>
      <c r="I281" t="s">
        <v>10</v>
      </c>
      <c r="J281" t="s">
        <v>67</v>
      </c>
      <c r="K281">
        <v>5</v>
      </c>
      <c r="L281" s="2">
        <v>207.25</v>
      </c>
      <c r="M281" s="3">
        <v>0</v>
      </c>
      <c r="N281" s="2">
        <v>1036.25</v>
      </c>
      <c r="O281" s="2">
        <v>657.83</v>
      </c>
      <c r="P281" s="2">
        <v>378.42</v>
      </c>
      <c r="Q281" t="s">
        <v>68</v>
      </c>
    </row>
    <row r="282" spans="1:17">
      <c r="A282" t="s">
        <v>373</v>
      </c>
      <c r="B282" s="1">
        <v>45798</v>
      </c>
      <c r="C282" s="1" t="str">
        <f t="shared" si="8"/>
        <v>May 2025</v>
      </c>
      <c r="D282" s="1">
        <f t="shared" si="9"/>
        <v>45778</v>
      </c>
      <c r="E282" t="s">
        <v>6</v>
      </c>
      <c r="F282" t="s">
        <v>149</v>
      </c>
      <c r="G282" t="s">
        <v>50</v>
      </c>
      <c r="H282" t="s">
        <v>66</v>
      </c>
      <c r="I282" t="s">
        <v>12</v>
      </c>
      <c r="J282" t="s">
        <v>138</v>
      </c>
      <c r="K282">
        <v>6</v>
      </c>
      <c r="L282" s="2">
        <v>25.41</v>
      </c>
      <c r="M282" s="3">
        <v>0.15</v>
      </c>
      <c r="N282" s="2">
        <v>129.59</v>
      </c>
      <c r="O282" s="2">
        <v>107.5</v>
      </c>
      <c r="P282" s="2">
        <v>22.09</v>
      </c>
      <c r="Q282" t="s">
        <v>75</v>
      </c>
    </row>
    <row r="283" spans="1:17">
      <c r="A283" t="s">
        <v>374</v>
      </c>
      <c r="B283" s="1">
        <v>45689</v>
      </c>
      <c r="C283" s="1" t="str">
        <f t="shared" si="8"/>
        <v>Feb 2025</v>
      </c>
      <c r="D283" s="1">
        <f t="shared" si="9"/>
        <v>45689</v>
      </c>
      <c r="E283" t="s">
        <v>4</v>
      </c>
      <c r="F283" t="s">
        <v>49</v>
      </c>
      <c r="G283" t="s">
        <v>50</v>
      </c>
      <c r="H283" t="s">
        <v>66</v>
      </c>
      <c r="I283" t="s">
        <v>11</v>
      </c>
      <c r="J283" t="s">
        <v>115</v>
      </c>
      <c r="K283">
        <v>2</v>
      </c>
      <c r="L283" s="2">
        <v>218.29</v>
      </c>
      <c r="M283" s="3">
        <v>0.15</v>
      </c>
      <c r="N283" s="2">
        <v>371.09</v>
      </c>
      <c r="O283" s="2">
        <v>259.64999999999998</v>
      </c>
      <c r="P283" s="2">
        <v>111.44</v>
      </c>
      <c r="Q283" t="s">
        <v>59</v>
      </c>
    </row>
    <row r="284" spans="1:17">
      <c r="A284" t="s">
        <v>375</v>
      </c>
      <c r="B284" s="1">
        <v>45903</v>
      </c>
      <c r="C284" s="1" t="str">
        <f t="shared" si="8"/>
        <v>Sep 2025</v>
      </c>
      <c r="D284" s="1">
        <f t="shared" si="9"/>
        <v>45901</v>
      </c>
      <c r="E284" t="s">
        <v>5</v>
      </c>
      <c r="F284" t="s">
        <v>79</v>
      </c>
      <c r="G284" t="s">
        <v>62</v>
      </c>
      <c r="H284" t="s">
        <v>66</v>
      </c>
      <c r="I284" t="s">
        <v>10</v>
      </c>
      <c r="J284" t="s">
        <v>67</v>
      </c>
      <c r="K284">
        <v>2</v>
      </c>
      <c r="L284" s="2">
        <v>215.13</v>
      </c>
      <c r="M284" s="3">
        <v>0.05</v>
      </c>
      <c r="N284" s="2">
        <v>408.75</v>
      </c>
      <c r="O284" s="2">
        <v>273.87</v>
      </c>
      <c r="P284" s="2">
        <v>134.88</v>
      </c>
      <c r="Q284" t="s">
        <v>68</v>
      </c>
    </row>
    <row r="285" spans="1:17">
      <c r="A285" t="s">
        <v>376</v>
      </c>
      <c r="B285" s="1">
        <v>45673</v>
      </c>
      <c r="C285" s="1" t="str">
        <f t="shared" si="8"/>
        <v>Jan 2025</v>
      </c>
      <c r="D285" s="1">
        <f t="shared" si="9"/>
        <v>45658</v>
      </c>
      <c r="E285" t="s">
        <v>5</v>
      </c>
      <c r="F285" t="s">
        <v>79</v>
      </c>
      <c r="G285" t="s">
        <v>85</v>
      </c>
      <c r="H285" t="s">
        <v>51</v>
      </c>
      <c r="I285" t="s">
        <v>12</v>
      </c>
      <c r="J285" t="s">
        <v>87</v>
      </c>
      <c r="K285">
        <v>5</v>
      </c>
      <c r="L285" s="2">
        <v>12.05</v>
      </c>
      <c r="M285" s="3">
        <v>0.05</v>
      </c>
      <c r="N285" s="2">
        <v>57.24</v>
      </c>
      <c r="O285" s="2">
        <v>45.19</v>
      </c>
      <c r="P285" s="2">
        <v>12.05</v>
      </c>
      <c r="Q285" t="s">
        <v>68</v>
      </c>
    </row>
    <row r="286" spans="1:17">
      <c r="A286" t="s">
        <v>377</v>
      </c>
      <c r="B286" s="1">
        <v>45794</v>
      </c>
      <c r="C286" s="1" t="str">
        <f t="shared" si="8"/>
        <v>May 2025</v>
      </c>
      <c r="D286" s="1">
        <f t="shared" si="9"/>
        <v>45778</v>
      </c>
      <c r="E286" t="s">
        <v>7</v>
      </c>
      <c r="F286" t="s">
        <v>101</v>
      </c>
      <c r="G286" t="s">
        <v>83</v>
      </c>
      <c r="H286" t="s">
        <v>51</v>
      </c>
      <c r="I286" t="s">
        <v>10</v>
      </c>
      <c r="J286" t="s">
        <v>130</v>
      </c>
      <c r="K286">
        <v>4</v>
      </c>
      <c r="L286" s="2">
        <v>199.53</v>
      </c>
      <c r="M286" s="3">
        <v>0.15</v>
      </c>
      <c r="N286" s="2">
        <v>678.4</v>
      </c>
      <c r="O286" s="2">
        <v>617.71</v>
      </c>
      <c r="P286" s="2">
        <v>60.69</v>
      </c>
      <c r="Q286" t="s">
        <v>68</v>
      </c>
    </row>
    <row r="287" spans="1:17">
      <c r="A287" t="s">
        <v>378</v>
      </c>
      <c r="B287" s="1">
        <v>45961</v>
      </c>
      <c r="C287" s="1" t="str">
        <f t="shared" si="8"/>
        <v>Oct 2025</v>
      </c>
      <c r="D287" s="1">
        <f t="shared" si="9"/>
        <v>45931</v>
      </c>
      <c r="E287" t="s">
        <v>4</v>
      </c>
      <c r="F287" t="s">
        <v>49</v>
      </c>
      <c r="G287" t="s">
        <v>56</v>
      </c>
      <c r="H287" t="s">
        <v>57</v>
      </c>
      <c r="I287" t="s">
        <v>12</v>
      </c>
      <c r="J287" t="s">
        <v>74</v>
      </c>
      <c r="K287">
        <v>6</v>
      </c>
      <c r="L287" s="2">
        <v>9.06</v>
      </c>
      <c r="M287" s="3">
        <v>0.05</v>
      </c>
      <c r="N287" s="2">
        <v>51.64</v>
      </c>
      <c r="O287" s="2">
        <v>43.72</v>
      </c>
      <c r="P287" s="2">
        <v>7.92</v>
      </c>
      <c r="Q287" t="s">
        <v>59</v>
      </c>
    </row>
    <row r="288" spans="1:17">
      <c r="A288" t="s">
        <v>379</v>
      </c>
      <c r="B288" s="1">
        <v>45747</v>
      </c>
      <c r="C288" s="1" t="str">
        <f t="shared" si="8"/>
        <v>Mar 2025</v>
      </c>
      <c r="D288" s="1">
        <f t="shared" si="9"/>
        <v>45717</v>
      </c>
      <c r="E288" t="s">
        <v>7</v>
      </c>
      <c r="F288" t="s">
        <v>61</v>
      </c>
      <c r="G288" t="s">
        <v>62</v>
      </c>
      <c r="H288" t="s">
        <v>66</v>
      </c>
      <c r="I288" t="s">
        <v>12</v>
      </c>
      <c r="J288" t="s">
        <v>87</v>
      </c>
      <c r="K288">
        <v>1</v>
      </c>
      <c r="L288" s="2">
        <v>11.41</v>
      </c>
      <c r="M288" s="3">
        <v>0</v>
      </c>
      <c r="N288" s="2">
        <v>11.41</v>
      </c>
      <c r="O288" s="2">
        <v>6</v>
      </c>
      <c r="P288" s="2">
        <v>5.41</v>
      </c>
      <c r="Q288" t="s">
        <v>68</v>
      </c>
    </row>
    <row r="289" spans="1:17">
      <c r="A289" t="s">
        <v>380</v>
      </c>
      <c r="B289" s="1">
        <v>45724</v>
      </c>
      <c r="C289" s="1" t="str">
        <f t="shared" si="8"/>
        <v>Mar 2025</v>
      </c>
      <c r="D289" s="1">
        <f t="shared" si="9"/>
        <v>45717</v>
      </c>
      <c r="E289" t="s">
        <v>5</v>
      </c>
      <c r="F289" t="s">
        <v>73</v>
      </c>
      <c r="G289" t="s">
        <v>83</v>
      </c>
      <c r="H289" t="s">
        <v>51</v>
      </c>
      <c r="I289" t="s">
        <v>12</v>
      </c>
      <c r="J289" t="s">
        <v>112</v>
      </c>
      <c r="K289">
        <v>6</v>
      </c>
      <c r="L289" s="2">
        <v>8.69</v>
      </c>
      <c r="M289" s="3">
        <v>0.05</v>
      </c>
      <c r="N289" s="2">
        <v>49.53</v>
      </c>
      <c r="O289" s="2">
        <v>28.04</v>
      </c>
      <c r="P289" s="2">
        <v>21.49</v>
      </c>
      <c r="Q289" t="s">
        <v>59</v>
      </c>
    </row>
    <row r="290" spans="1:17">
      <c r="A290" t="s">
        <v>381</v>
      </c>
      <c r="B290" s="1">
        <v>45695</v>
      </c>
      <c r="C290" s="1" t="str">
        <f t="shared" si="8"/>
        <v>Feb 2025</v>
      </c>
      <c r="D290" s="1">
        <f t="shared" si="9"/>
        <v>45689</v>
      </c>
      <c r="E290" t="s">
        <v>5</v>
      </c>
      <c r="F290" t="s">
        <v>73</v>
      </c>
      <c r="G290" t="s">
        <v>50</v>
      </c>
      <c r="H290" t="s">
        <v>66</v>
      </c>
      <c r="I290" t="s">
        <v>12</v>
      </c>
      <c r="J290" t="s">
        <v>138</v>
      </c>
      <c r="K290">
        <v>3</v>
      </c>
      <c r="L290" s="2">
        <v>27.27</v>
      </c>
      <c r="M290" s="3">
        <v>0.05</v>
      </c>
      <c r="N290" s="2">
        <v>77.72</v>
      </c>
      <c r="O290" s="2">
        <v>45.89</v>
      </c>
      <c r="P290" s="2">
        <v>31.83</v>
      </c>
      <c r="Q290" t="s">
        <v>75</v>
      </c>
    </row>
    <row r="291" spans="1:17">
      <c r="A291" t="s">
        <v>382</v>
      </c>
      <c r="B291" s="1">
        <v>45990</v>
      </c>
      <c r="C291" s="1" t="str">
        <f t="shared" si="8"/>
        <v>Nov 2025</v>
      </c>
      <c r="D291" s="1">
        <f t="shared" si="9"/>
        <v>45962</v>
      </c>
      <c r="E291" t="s">
        <v>5</v>
      </c>
      <c r="F291" t="s">
        <v>73</v>
      </c>
      <c r="G291" t="s">
        <v>83</v>
      </c>
      <c r="H291" t="s">
        <v>57</v>
      </c>
      <c r="I291" t="s">
        <v>12</v>
      </c>
      <c r="J291" t="s">
        <v>112</v>
      </c>
      <c r="K291">
        <v>4</v>
      </c>
      <c r="L291" s="2">
        <v>8.19</v>
      </c>
      <c r="M291" s="3">
        <v>0.15</v>
      </c>
      <c r="N291" s="2">
        <v>27.85</v>
      </c>
      <c r="O291" s="2">
        <v>24.77</v>
      </c>
      <c r="P291" s="2">
        <v>3.08</v>
      </c>
      <c r="Q291" t="s">
        <v>59</v>
      </c>
    </row>
    <row r="292" spans="1:17">
      <c r="A292" t="s">
        <v>383</v>
      </c>
      <c r="B292" s="1">
        <v>46010</v>
      </c>
      <c r="C292" s="1" t="str">
        <f t="shared" si="8"/>
        <v>Dec 2025</v>
      </c>
      <c r="D292" s="1">
        <f t="shared" si="9"/>
        <v>45992</v>
      </c>
      <c r="E292" t="s">
        <v>4</v>
      </c>
      <c r="F292" t="s">
        <v>49</v>
      </c>
      <c r="G292" t="s">
        <v>83</v>
      </c>
      <c r="H292" t="s">
        <v>66</v>
      </c>
      <c r="I292" t="s">
        <v>12</v>
      </c>
      <c r="J292" t="s">
        <v>112</v>
      </c>
      <c r="K292">
        <v>1</v>
      </c>
      <c r="L292" s="2">
        <v>7.2</v>
      </c>
      <c r="M292" s="3">
        <v>0.15</v>
      </c>
      <c r="N292" s="2">
        <v>6.12</v>
      </c>
      <c r="O292" s="2">
        <v>4.59</v>
      </c>
      <c r="P292" s="2">
        <v>1.53</v>
      </c>
      <c r="Q292" t="s">
        <v>59</v>
      </c>
    </row>
    <row r="293" spans="1:17">
      <c r="A293" t="s">
        <v>384</v>
      </c>
      <c r="B293" s="1">
        <v>45971</v>
      </c>
      <c r="C293" s="1" t="str">
        <f t="shared" si="8"/>
        <v>Nov 2025</v>
      </c>
      <c r="D293" s="1">
        <f t="shared" si="9"/>
        <v>45962</v>
      </c>
      <c r="E293" t="s">
        <v>5</v>
      </c>
      <c r="F293" t="s">
        <v>97</v>
      </c>
      <c r="G293" t="s">
        <v>62</v>
      </c>
      <c r="H293" t="s">
        <v>51</v>
      </c>
      <c r="I293" t="s">
        <v>11</v>
      </c>
      <c r="J293" t="s">
        <v>107</v>
      </c>
      <c r="K293">
        <v>1</v>
      </c>
      <c r="L293" s="2">
        <v>55.5</v>
      </c>
      <c r="M293" s="3">
        <v>0.05</v>
      </c>
      <c r="N293" s="2">
        <v>52.72</v>
      </c>
      <c r="O293" s="2">
        <v>41.27</v>
      </c>
      <c r="P293" s="2">
        <v>11.45</v>
      </c>
      <c r="Q293" t="s">
        <v>53</v>
      </c>
    </row>
    <row r="294" spans="1:17">
      <c r="A294" t="s">
        <v>385</v>
      </c>
      <c r="B294" s="1">
        <v>46020</v>
      </c>
      <c r="C294" s="1" t="str">
        <f t="shared" si="8"/>
        <v>Dec 2025</v>
      </c>
      <c r="D294" s="1">
        <f t="shared" si="9"/>
        <v>45992</v>
      </c>
      <c r="E294" t="s">
        <v>6</v>
      </c>
      <c r="F294" t="s">
        <v>149</v>
      </c>
      <c r="G294" t="s">
        <v>85</v>
      </c>
      <c r="H294" t="s">
        <v>66</v>
      </c>
      <c r="I294" t="s">
        <v>10</v>
      </c>
      <c r="J294" t="s">
        <v>80</v>
      </c>
      <c r="K294">
        <v>2</v>
      </c>
      <c r="L294" s="2">
        <v>143.75</v>
      </c>
      <c r="M294" s="3">
        <v>0</v>
      </c>
      <c r="N294" s="2">
        <v>287.5</v>
      </c>
      <c r="O294" s="2">
        <v>209.29</v>
      </c>
      <c r="P294" s="2">
        <v>78.209999999999994</v>
      </c>
      <c r="Q294" t="s">
        <v>53</v>
      </c>
    </row>
    <row r="295" spans="1:17">
      <c r="A295" t="s">
        <v>386</v>
      </c>
      <c r="B295" s="1">
        <v>45682</v>
      </c>
      <c r="C295" s="1" t="str">
        <f t="shared" si="8"/>
        <v>Jan 2025</v>
      </c>
      <c r="D295" s="1">
        <f t="shared" si="9"/>
        <v>45658</v>
      </c>
      <c r="E295" t="s">
        <v>7</v>
      </c>
      <c r="F295" t="s">
        <v>101</v>
      </c>
      <c r="G295" t="s">
        <v>50</v>
      </c>
      <c r="H295" t="s">
        <v>51</v>
      </c>
      <c r="I295" t="s">
        <v>12</v>
      </c>
      <c r="J295" t="s">
        <v>138</v>
      </c>
      <c r="K295">
        <v>4</v>
      </c>
      <c r="L295" s="2">
        <v>31.17</v>
      </c>
      <c r="M295" s="3">
        <v>0.1</v>
      </c>
      <c r="N295" s="2">
        <v>112.21</v>
      </c>
      <c r="O295" s="2">
        <v>83.28</v>
      </c>
      <c r="P295" s="2">
        <v>28.93</v>
      </c>
      <c r="Q295" t="s">
        <v>75</v>
      </c>
    </row>
    <row r="296" spans="1:17">
      <c r="A296" t="s">
        <v>387</v>
      </c>
      <c r="B296" s="1">
        <v>45953</v>
      </c>
      <c r="C296" s="1" t="str">
        <f t="shared" si="8"/>
        <v>Oct 2025</v>
      </c>
      <c r="D296" s="1">
        <f t="shared" si="9"/>
        <v>45931</v>
      </c>
      <c r="E296" t="s">
        <v>6</v>
      </c>
      <c r="F296" t="s">
        <v>149</v>
      </c>
      <c r="G296" t="s">
        <v>85</v>
      </c>
      <c r="H296" t="s">
        <v>51</v>
      </c>
      <c r="I296" t="s">
        <v>10</v>
      </c>
      <c r="J296" t="s">
        <v>125</v>
      </c>
      <c r="K296">
        <v>1</v>
      </c>
      <c r="L296" s="2">
        <v>293.19</v>
      </c>
      <c r="M296" s="3">
        <v>0</v>
      </c>
      <c r="N296" s="2">
        <v>293.19</v>
      </c>
      <c r="O296" s="2">
        <v>178.4</v>
      </c>
      <c r="P296" s="2">
        <v>114.79</v>
      </c>
      <c r="Q296" t="s">
        <v>59</v>
      </c>
    </row>
    <row r="297" spans="1:17">
      <c r="A297" t="s">
        <v>388</v>
      </c>
      <c r="B297" s="1">
        <v>45745</v>
      </c>
      <c r="C297" s="1" t="str">
        <f t="shared" si="8"/>
        <v>Mar 2025</v>
      </c>
      <c r="D297" s="1">
        <f t="shared" si="9"/>
        <v>45717</v>
      </c>
      <c r="E297" t="s">
        <v>4</v>
      </c>
      <c r="F297" t="s">
        <v>55</v>
      </c>
      <c r="G297" t="s">
        <v>94</v>
      </c>
      <c r="H297" t="s">
        <v>57</v>
      </c>
      <c r="I297" t="s">
        <v>12</v>
      </c>
      <c r="J297" t="s">
        <v>112</v>
      </c>
      <c r="K297">
        <v>4</v>
      </c>
      <c r="L297" s="2">
        <v>8.16</v>
      </c>
      <c r="M297" s="3">
        <v>0</v>
      </c>
      <c r="N297" s="2">
        <v>32.64</v>
      </c>
      <c r="O297" s="2">
        <v>20.28</v>
      </c>
      <c r="P297" s="2">
        <v>12.36</v>
      </c>
      <c r="Q297" t="s">
        <v>68</v>
      </c>
    </row>
    <row r="298" spans="1:17">
      <c r="A298" t="s">
        <v>389</v>
      </c>
      <c r="B298" s="1">
        <v>45968</v>
      </c>
      <c r="C298" s="1" t="str">
        <f t="shared" si="8"/>
        <v>Nov 2025</v>
      </c>
      <c r="D298" s="1">
        <f t="shared" si="9"/>
        <v>45962</v>
      </c>
      <c r="E298" t="s">
        <v>4</v>
      </c>
      <c r="F298" t="s">
        <v>104</v>
      </c>
      <c r="G298" t="s">
        <v>71</v>
      </c>
      <c r="H298" t="s">
        <v>66</v>
      </c>
      <c r="I298" t="s">
        <v>12</v>
      </c>
      <c r="J298" t="s">
        <v>112</v>
      </c>
      <c r="K298">
        <v>1</v>
      </c>
      <c r="L298" s="2">
        <v>7.78</v>
      </c>
      <c r="M298" s="3">
        <v>0</v>
      </c>
      <c r="N298" s="2">
        <v>7.78</v>
      </c>
      <c r="O298" s="2">
        <v>5</v>
      </c>
      <c r="P298" s="2">
        <v>2.78</v>
      </c>
      <c r="Q298" t="s">
        <v>59</v>
      </c>
    </row>
    <row r="299" spans="1:17">
      <c r="A299" t="s">
        <v>390</v>
      </c>
      <c r="B299" s="1">
        <v>45810</v>
      </c>
      <c r="C299" s="1" t="str">
        <f t="shared" si="8"/>
        <v>Jun 2025</v>
      </c>
      <c r="D299" s="1">
        <f t="shared" si="9"/>
        <v>45809</v>
      </c>
      <c r="E299" t="s">
        <v>6</v>
      </c>
      <c r="F299" t="s">
        <v>109</v>
      </c>
      <c r="G299" t="s">
        <v>50</v>
      </c>
      <c r="H299" t="s">
        <v>51</v>
      </c>
      <c r="I299" t="s">
        <v>11</v>
      </c>
      <c r="J299" t="s">
        <v>52</v>
      </c>
      <c r="K299">
        <v>1</v>
      </c>
      <c r="L299" s="2">
        <v>25.64</v>
      </c>
      <c r="M299" s="3">
        <v>0.1</v>
      </c>
      <c r="N299" s="2">
        <v>23.08</v>
      </c>
      <c r="O299" s="2">
        <v>14.51</v>
      </c>
      <c r="P299" s="2">
        <v>8.57</v>
      </c>
      <c r="Q299" t="s">
        <v>59</v>
      </c>
    </row>
    <row r="300" spans="1:17">
      <c r="A300" t="s">
        <v>391</v>
      </c>
      <c r="B300" s="1">
        <v>45996</v>
      </c>
      <c r="C300" s="1" t="str">
        <f t="shared" si="8"/>
        <v>Dec 2025</v>
      </c>
      <c r="D300" s="1">
        <f t="shared" si="9"/>
        <v>45992</v>
      </c>
      <c r="E300" t="s">
        <v>6</v>
      </c>
      <c r="F300" t="s">
        <v>109</v>
      </c>
      <c r="G300" t="s">
        <v>91</v>
      </c>
      <c r="H300" t="s">
        <v>51</v>
      </c>
      <c r="I300" t="s">
        <v>10</v>
      </c>
      <c r="J300" t="s">
        <v>102</v>
      </c>
      <c r="K300">
        <v>2</v>
      </c>
      <c r="L300" s="2">
        <v>36.85</v>
      </c>
      <c r="M300" s="3">
        <v>0</v>
      </c>
      <c r="N300" s="2">
        <v>73.7</v>
      </c>
      <c r="O300" s="2">
        <v>42.1</v>
      </c>
      <c r="P300" s="2">
        <v>31.6</v>
      </c>
      <c r="Q300" t="s">
        <v>59</v>
      </c>
    </row>
    <row r="301" spans="1:17">
      <c r="A301" t="s">
        <v>392</v>
      </c>
      <c r="B301" s="1">
        <v>45861</v>
      </c>
      <c r="C301" s="1" t="str">
        <f t="shared" si="8"/>
        <v>Jul 2025</v>
      </c>
      <c r="D301" s="1">
        <f t="shared" si="9"/>
        <v>45839</v>
      </c>
      <c r="E301" t="s">
        <v>6</v>
      </c>
      <c r="F301" t="s">
        <v>149</v>
      </c>
      <c r="G301" t="s">
        <v>62</v>
      </c>
      <c r="H301" t="s">
        <v>51</v>
      </c>
      <c r="I301" t="s">
        <v>12</v>
      </c>
      <c r="J301" t="s">
        <v>138</v>
      </c>
      <c r="K301">
        <v>6</v>
      </c>
      <c r="L301" s="2">
        <v>26.83</v>
      </c>
      <c r="M301" s="3">
        <v>0.15</v>
      </c>
      <c r="N301" s="2">
        <v>136.83000000000001</v>
      </c>
      <c r="O301" s="2">
        <v>102.42</v>
      </c>
      <c r="P301" s="2">
        <v>34.409999999999997</v>
      </c>
      <c r="Q301" t="s">
        <v>75</v>
      </c>
    </row>
    <row r="302" spans="1:17">
      <c r="A302" t="s">
        <v>393</v>
      </c>
      <c r="B302" s="1">
        <v>45680</v>
      </c>
      <c r="C302" s="1" t="str">
        <f t="shared" si="8"/>
        <v>Jan 2025</v>
      </c>
      <c r="D302" s="1">
        <f t="shared" si="9"/>
        <v>45658</v>
      </c>
      <c r="E302" t="s">
        <v>5</v>
      </c>
      <c r="F302" t="s">
        <v>73</v>
      </c>
      <c r="G302" t="s">
        <v>85</v>
      </c>
      <c r="H302" t="s">
        <v>51</v>
      </c>
      <c r="I302" t="s">
        <v>12</v>
      </c>
      <c r="J302" t="s">
        <v>138</v>
      </c>
      <c r="K302">
        <v>2</v>
      </c>
      <c r="L302" s="2">
        <v>26.59</v>
      </c>
      <c r="M302" s="3">
        <v>0.05</v>
      </c>
      <c r="N302" s="2">
        <v>50.52</v>
      </c>
      <c r="O302" s="2">
        <v>36.659999999999997</v>
      </c>
      <c r="P302" s="2">
        <v>13.86</v>
      </c>
      <c r="Q302" t="s">
        <v>59</v>
      </c>
    </row>
    <row r="303" spans="1:17">
      <c r="A303" t="s">
        <v>394</v>
      </c>
      <c r="B303" s="1">
        <v>45935</v>
      </c>
      <c r="C303" s="1" t="str">
        <f t="shared" si="8"/>
        <v>Oct 2025</v>
      </c>
      <c r="D303" s="1">
        <f t="shared" si="9"/>
        <v>45931</v>
      </c>
      <c r="E303" t="s">
        <v>7</v>
      </c>
      <c r="F303" t="s">
        <v>117</v>
      </c>
      <c r="G303" t="s">
        <v>91</v>
      </c>
      <c r="H303" t="s">
        <v>66</v>
      </c>
      <c r="I303" t="s">
        <v>12</v>
      </c>
      <c r="J303" t="s">
        <v>77</v>
      </c>
      <c r="K303">
        <v>1</v>
      </c>
      <c r="L303" s="2">
        <v>13.7</v>
      </c>
      <c r="M303" s="3">
        <v>0.1</v>
      </c>
      <c r="N303" s="2">
        <v>12.33</v>
      </c>
      <c r="O303" s="2">
        <v>10.49</v>
      </c>
      <c r="P303" s="2">
        <v>1.84</v>
      </c>
      <c r="Q303" t="s">
        <v>68</v>
      </c>
    </row>
    <row r="304" spans="1:17">
      <c r="A304" t="s">
        <v>395</v>
      </c>
      <c r="B304" s="1">
        <v>45901</v>
      </c>
      <c r="C304" s="1" t="str">
        <f t="shared" si="8"/>
        <v>Sep 2025</v>
      </c>
      <c r="D304" s="1">
        <f t="shared" si="9"/>
        <v>45901</v>
      </c>
      <c r="E304" t="s">
        <v>4</v>
      </c>
      <c r="F304" t="s">
        <v>104</v>
      </c>
      <c r="G304" t="s">
        <v>83</v>
      </c>
      <c r="H304" t="s">
        <v>51</v>
      </c>
      <c r="I304" t="s">
        <v>12</v>
      </c>
      <c r="J304" t="s">
        <v>87</v>
      </c>
      <c r="K304">
        <v>2</v>
      </c>
      <c r="L304" s="2">
        <v>13.05</v>
      </c>
      <c r="M304" s="3">
        <v>0</v>
      </c>
      <c r="N304" s="2">
        <v>26.1</v>
      </c>
      <c r="O304" s="2">
        <v>17.5</v>
      </c>
      <c r="P304" s="2">
        <v>8.6</v>
      </c>
      <c r="Q304" t="s">
        <v>75</v>
      </c>
    </row>
    <row r="305" spans="1:17">
      <c r="A305" t="s">
        <v>396</v>
      </c>
      <c r="B305" s="1">
        <v>45746</v>
      </c>
      <c r="C305" s="1" t="str">
        <f t="shared" si="8"/>
        <v>Mar 2025</v>
      </c>
      <c r="D305" s="1">
        <f t="shared" si="9"/>
        <v>45717</v>
      </c>
      <c r="E305" t="s">
        <v>7</v>
      </c>
      <c r="F305" t="s">
        <v>61</v>
      </c>
      <c r="G305" t="s">
        <v>83</v>
      </c>
      <c r="H305" t="s">
        <v>66</v>
      </c>
      <c r="I305" t="s">
        <v>11</v>
      </c>
      <c r="J305" t="s">
        <v>58</v>
      </c>
      <c r="K305">
        <v>5</v>
      </c>
      <c r="L305" s="2">
        <v>41.75</v>
      </c>
      <c r="M305" s="3">
        <v>0.1</v>
      </c>
      <c r="N305" s="2">
        <v>187.88</v>
      </c>
      <c r="O305" s="2">
        <v>113.46</v>
      </c>
      <c r="P305" s="2">
        <v>74.42</v>
      </c>
      <c r="Q305" t="s">
        <v>59</v>
      </c>
    </row>
    <row r="306" spans="1:17">
      <c r="A306" t="s">
        <v>397</v>
      </c>
      <c r="B306" s="1">
        <v>45821</v>
      </c>
      <c r="C306" s="1" t="str">
        <f t="shared" si="8"/>
        <v>Jun 2025</v>
      </c>
      <c r="D306" s="1">
        <f t="shared" si="9"/>
        <v>45809</v>
      </c>
      <c r="E306" t="s">
        <v>6</v>
      </c>
      <c r="F306" t="s">
        <v>65</v>
      </c>
      <c r="G306" t="s">
        <v>91</v>
      </c>
      <c r="H306" t="s">
        <v>51</v>
      </c>
      <c r="I306" t="s">
        <v>10</v>
      </c>
      <c r="J306" t="s">
        <v>130</v>
      </c>
      <c r="K306">
        <v>1</v>
      </c>
      <c r="L306" s="2">
        <v>184.03</v>
      </c>
      <c r="M306" s="3">
        <v>0.15</v>
      </c>
      <c r="N306" s="2">
        <v>156.43</v>
      </c>
      <c r="O306" s="2">
        <v>113.7</v>
      </c>
      <c r="P306" s="2">
        <v>42.73</v>
      </c>
      <c r="Q306" t="s">
        <v>75</v>
      </c>
    </row>
    <row r="307" spans="1:17">
      <c r="A307" t="s">
        <v>398</v>
      </c>
      <c r="B307" s="1">
        <v>45715</v>
      </c>
      <c r="C307" s="1" t="str">
        <f t="shared" si="8"/>
        <v>Feb 2025</v>
      </c>
      <c r="D307" s="1">
        <f t="shared" si="9"/>
        <v>45689</v>
      </c>
      <c r="E307" t="s">
        <v>4</v>
      </c>
      <c r="F307" t="s">
        <v>49</v>
      </c>
      <c r="G307" t="s">
        <v>71</v>
      </c>
      <c r="H307" t="s">
        <v>66</v>
      </c>
      <c r="I307" t="s">
        <v>12</v>
      </c>
      <c r="J307" t="s">
        <v>112</v>
      </c>
      <c r="K307">
        <v>1</v>
      </c>
      <c r="L307" s="2">
        <v>8.23</v>
      </c>
      <c r="M307" s="3">
        <v>0</v>
      </c>
      <c r="N307" s="2">
        <v>8.23</v>
      </c>
      <c r="O307" s="2">
        <v>6.56</v>
      </c>
      <c r="P307" s="2">
        <v>1.67</v>
      </c>
      <c r="Q307" t="s">
        <v>59</v>
      </c>
    </row>
    <row r="308" spans="1:17">
      <c r="A308" t="s">
        <v>399</v>
      </c>
      <c r="B308" s="1">
        <v>45868</v>
      </c>
      <c r="C308" s="1" t="str">
        <f t="shared" si="8"/>
        <v>Jul 2025</v>
      </c>
      <c r="D308" s="1">
        <f t="shared" si="9"/>
        <v>45839</v>
      </c>
      <c r="E308" t="s">
        <v>6</v>
      </c>
      <c r="F308" t="s">
        <v>149</v>
      </c>
      <c r="G308" t="s">
        <v>83</v>
      </c>
      <c r="H308" t="s">
        <v>66</v>
      </c>
      <c r="I308" t="s">
        <v>12</v>
      </c>
      <c r="J308" t="s">
        <v>138</v>
      </c>
      <c r="K308">
        <v>3</v>
      </c>
      <c r="L308" s="2">
        <v>28.72</v>
      </c>
      <c r="M308" s="3">
        <v>0.1</v>
      </c>
      <c r="N308" s="2">
        <v>77.540000000000006</v>
      </c>
      <c r="O308" s="2">
        <v>45.77</v>
      </c>
      <c r="P308" s="2">
        <v>31.77</v>
      </c>
      <c r="Q308" t="s">
        <v>75</v>
      </c>
    </row>
    <row r="309" spans="1:17">
      <c r="A309" t="s">
        <v>400</v>
      </c>
      <c r="B309" s="1">
        <v>45677</v>
      </c>
      <c r="C309" s="1" t="str">
        <f t="shared" si="8"/>
        <v>Jan 2025</v>
      </c>
      <c r="D309" s="1">
        <f t="shared" si="9"/>
        <v>45658</v>
      </c>
      <c r="E309" t="s">
        <v>6</v>
      </c>
      <c r="F309" t="s">
        <v>109</v>
      </c>
      <c r="G309" t="s">
        <v>62</v>
      </c>
      <c r="H309" t="s">
        <v>57</v>
      </c>
      <c r="I309" t="s">
        <v>12</v>
      </c>
      <c r="J309" t="s">
        <v>74</v>
      </c>
      <c r="K309">
        <v>4</v>
      </c>
      <c r="L309" s="2">
        <v>9.11</v>
      </c>
      <c r="M309" s="3">
        <v>0.1</v>
      </c>
      <c r="N309" s="2">
        <v>32.799999999999997</v>
      </c>
      <c r="O309" s="2">
        <v>29.02</v>
      </c>
      <c r="P309" s="2">
        <v>3.78</v>
      </c>
      <c r="Q309" t="s">
        <v>59</v>
      </c>
    </row>
    <row r="310" spans="1:17">
      <c r="A310" t="s">
        <v>401</v>
      </c>
      <c r="B310" s="1">
        <v>45801</v>
      </c>
      <c r="C310" s="1" t="str">
        <f t="shared" si="8"/>
        <v>May 2025</v>
      </c>
      <c r="D310" s="1">
        <f t="shared" si="9"/>
        <v>45778</v>
      </c>
      <c r="E310" t="s">
        <v>7</v>
      </c>
      <c r="F310" t="s">
        <v>101</v>
      </c>
      <c r="G310" t="s">
        <v>71</v>
      </c>
      <c r="H310" t="s">
        <v>66</v>
      </c>
      <c r="I310" t="s">
        <v>12</v>
      </c>
      <c r="J310" t="s">
        <v>87</v>
      </c>
      <c r="K310">
        <v>8</v>
      </c>
      <c r="L310" s="2">
        <v>11.4</v>
      </c>
      <c r="M310" s="3">
        <v>0.05</v>
      </c>
      <c r="N310" s="2">
        <v>86.64</v>
      </c>
      <c r="O310" s="2">
        <v>74.08</v>
      </c>
      <c r="P310" s="2">
        <v>12.56</v>
      </c>
      <c r="Q310" t="s">
        <v>75</v>
      </c>
    </row>
    <row r="311" spans="1:17">
      <c r="A311" t="s">
        <v>402</v>
      </c>
      <c r="B311" s="1">
        <v>45967</v>
      </c>
      <c r="C311" s="1" t="str">
        <f t="shared" si="8"/>
        <v>Nov 2025</v>
      </c>
      <c r="D311" s="1">
        <f t="shared" si="9"/>
        <v>45962</v>
      </c>
      <c r="E311" t="s">
        <v>4</v>
      </c>
      <c r="F311" t="s">
        <v>55</v>
      </c>
      <c r="G311" t="s">
        <v>94</v>
      </c>
      <c r="H311" t="s">
        <v>66</v>
      </c>
      <c r="I311" t="s">
        <v>10</v>
      </c>
      <c r="J311" t="s">
        <v>130</v>
      </c>
      <c r="K311">
        <v>1</v>
      </c>
      <c r="L311" s="2">
        <v>170.37</v>
      </c>
      <c r="M311" s="3">
        <v>0.1</v>
      </c>
      <c r="N311" s="2">
        <v>153.33000000000001</v>
      </c>
      <c r="O311" s="2">
        <v>126.46</v>
      </c>
      <c r="P311" s="2">
        <v>26.87</v>
      </c>
      <c r="Q311" t="s">
        <v>68</v>
      </c>
    </row>
    <row r="312" spans="1:17">
      <c r="A312" t="s">
        <v>403</v>
      </c>
      <c r="B312" s="1">
        <v>45691</v>
      </c>
      <c r="C312" s="1" t="str">
        <f t="shared" si="8"/>
        <v>Feb 2025</v>
      </c>
      <c r="D312" s="1">
        <f t="shared" si="9"/>
        <v>45689</v>
      </c>
      <c r="E312" t="s">
        <v>8</v>
      </c>
      <c r="F312" t="s">
        <v>82</v>
      </c>
      <c r="G312" t="s">
        <v>56</v>
      </c>
      <c r="H312" t="s">
        <v>51</v>
      </c>
      <c r="I312" t="s">
        <v>12</v>
      </c>
      <c r="J312" t="s">
        <v>77</v>
      </c>
      <c r="K312">
        <v>2</v>
      </c>
      <c r="L312" s="2">
        <v>16.079999999999998</v>
      </c>
      <c r="M312" s="3">
        <v>0.15</v>
      </c>
      <c r="N312" s="2">
        <v>27.34</v>
      </c>
      <c r="O312" s="2">
        <v>25.21</v>
      </c>
      <c r="P312" s="2">
        <v>2.13</v>
      </c>
      <c r="Q312" t="s">
        <v>53</v>
      </c>
    </row>
    <row r="313" spans="1:17">
      <c r="A313" t="s">
        <v>404</v>
      </c>
      <c r="B313" s="1">
        <v>45785</v>
      </c>
      <c r="C313" s="1" t="str">
        <f t="shared" si="8"/>
        <v>May 2025</v>
      </c>
      <c r="D313" s="1">
        <f t="shared" si="9"/>
        <v>45778</v>
      </c>
      <c r="E313" t="s">
        <v>7</v>
      </c>
      <c r="F313" t="s">
        <v>117</v>
      </c>
      <c r="G313" t="s">
        <v>50</v>
      </c>
      <c r="H313" t="s">
        <v>66</v>
      </c>
      <c r="I313" t="s">
        <v>11</v>
      </c>
      <c r="J313" t="s">
        <v>63</v>
      </c>
      <c r="K313">
        <v>1</v>
      </c>
      <c r="L313" s="2">
        <v>78.34</v>
      </c>
      <c r="M313" s="3">
        <v>0</v>
      </c>
      <c r="N313" s="2">
        <v>78.34</v>
      </c>
      <c r="O313" s="2">
        <v>47.18</v>
      </c>
      <c r="P313" s="2">
        <v>31.16</v>
      </c>
      <c r="Q313" t="s">
        <v>53</v>
      </c>
    </row>
    <row r="314" spans="1:17">
      <c r="A314" t="s">
        <v>405</v>
      </c>
      <c r="B314" s="1">
        <v>46006</v>
      </c>
      <c r="C314" s="1" t="str">
        <f t="shared" si="8"/>
        <v>Dec 2025</v>
      </c>
      <c r="D314" s="1">
        <f t="shared" si="9"/>
        <v>45992</v>
      </c>
      <c r="E314" t="s">
        <v>7</v>
      </c>
      <c r="F314" t="s">
        <v>117</v>
      </c>
      <c r="G314" t="s">
        <v>62</v>
      </c>
      <c r="H314" t="s">
        <v>57</v>
      </c>
      <c r="I314" t="s">
        <v>11</v>
      </c>
      <c r="J314" t="s">
        <v>58</v>
      </c>
      <c r="K314">
        <v>2</v>
      </c>
      <c r="L314" s="2">
        <v>46.38</v>
      </c>
      <c r="M314" s="3">
        <v>0</v>
      </c>
      <c r="N314" s="2">
        <v>92.76</v>
      </c>
      <c r="O314" s="2">
        <v>74.959999999999994</v>
      </c>
      <c r="P314" s="2">
        <v>17.8</v>
      </c>
      <c r="Q314" t="s">
        <v>68</v>
      </c>
    </row>
    <row r="315" spans="1:17">
      <c r="A315" t="s">
        <v>406</v>
      </c>
      <c r="B315" s="1">
        <v>45790</v>
      </c>
      <c r="C315" s="1" t="str">
        <f t="shared" si="8"/>
        <v>May 2025</v>
      </c>
      <c r="D315" s="1">
        <f t="shared" si="9"/>
        <v>45778</v>
      </c>
      <c r="E315" t="s">
        <v>5</v>
      </c>
      <c r="F315" t="s">
        <v>79</v>
      </c>
      <c r="G315" t="s">
        <v>56</v>
      </c>
      <c r="H315" t="s">
        <v>66</v>
      </c>
      <c r="I315" t="s">
        <v>10</v>
      </c>
      <c r="J315" t="s">
        <v>130</v>
      </c>
      <c r="K315">
        <v>2</v>
      </c>
      <c r="L315" s="2">
        <v>177.31</v>
      </c>
      <c r="M315" s="3">
        <v>0</v>
      </c>
      <c r="N315" s="2">
        <v>354.62</v>
      </c>
      <c r="O315" s="2">
        <v>275.24</v>
      </c>
      <c r="P315" s="2">
        <v>79.38</v>
      </c>
      <c r="Q315" t="s">
        <v>68</v>
      </c>
    </row>
    <row r="316" spans="1:17">
      <c r="A316" t="s">
        <v>407</v>
      </c>
      <c r="B316" s="1">
        <v>45795</v>
      </c>
      <c r="C316" s="1" t="str">
        <f t="shared" si="8"/>
        <v>May 2025</v>
      </c>
      <c r="D316" s="1">
        <f t="shared" si="9"/>
        <v>45778</v>
      </c>
      <c r="E316" t="s">
        <v>5</v>
      </c>
      <c r="F316" t="s">
        <v>73</v>
      </c>
      <c r="G316" t="s">
        <v>83</v>
      </c>
      <c r="H316" t="s">
        <v>66</v>
      </c>
      <c r="I316" t="s">
        <v>10</v>
      </c>
      <c r="J316" t="s">
        <v>67</v>
      </c>
      <c r="K316">
        <v>3</v>
      </c>
      <c r="L316" s="2">
        <v>228.95</v>
      </c>
      <c r="M316" s="3">
        <v>0</v>
      </c>
      <c r="N316" s="2">
        <v>686.85</v>
      </c>
      <c r="O316" s="2">
        <v>454.85</v>
      </c>
      <c r="P316" s="2">
        <v>232</v>
      </c>
      <c r="Q316" t="s">
        <v>53</v>
      </c>
    </row>
    <row r="317" spans="1:17">
      <c r="A317" t="s">
        <v>408</v>
      </c>
      <c r="B317" s="1">
        <v>45772</v>
      </c>
      <c r="C317" s="1" t="str">
        <f t="shared" si="8"/>
        <v>Apr 2025</v>
      </c>
      <c r="D317" s="1">
        <f t="shared" si="9"/>
        <v>45748</v>
      </c>
      <c r="E317" t="s">
        <v>7</v>
      </c>
      <c r="F317" t="s">
        <v>101</v>
      </c>
      <c r="G317" t="s">
        <v>91</v>
      </c>
      <c r="H317" t="s">
        <v>57</v>
      </c>
      <c r="I317" t="s">
        <v>12</v>
      </c>
      <c r="J317" t="s">
        <v>77</v>
      </c>
      <c r="K317">
        <v>5</v>
      </c>
      <c r="L317" s="2">
        <v>14.51</v>
      </c>
      <c r="M317" s="3">
        <v>0.05</v>
      </c>
      <c r="N317" s="2">
        <v>68.92</v>
      </c>
      <c r="O317" s="2">
        <v>46.95</v>
      </c>
      <c r="P317" s="2">
        <v>21.97</v>
      </c>
      <c r="Q317" t="s">
        <v>68</v>
      </c>
    </row>
    <row r="318" spans="1:17">
      <c r="A318" t="s">
        <v>409</v>
      </c>
      <c r="B318" s="1">
        <v>45896</v>
      </c>
      <c r="C318" s="1" t="str">
        <f t="shared" si="8"/>
        <v>Aug 2025</v>
      </c>
      <c r="D318" s="1">
        <f t="shared" si="9"/>
        <v>45870</v>
      </c>
      <c r="E318" t="s">
        <v>6</v>
      </c>
      <c r="F318" t="s">
        <v>65</v>
      </c>
      <c r="G318" t="s">
        <v>71</v>
      </c>
      <c r="H318" t="s">
        <v>57</v>
      </c>
      <c r="I318" t="s">
        <v>12</v>
      </c>
      <c r="J318" t="s">
        <v>77</v>
      </c>
      <c r="K318">
        <v>5</v>
      </c>
      <c r="L318" s="2">
        <v>14.81</v>
      </c>
      <c r="M318" s="3">
        <v>0</v>
      </c>
      <c r="N318" s="2">
        <v>74.05</v>
      </c>
      <c r="O318" s="2">
        <v>38.67</v>
      </c>
      <c r="P318" s="2">
        <v>35.380000000000003</v>
      </c>
      <c r="Q318" t="s">
        <v>53</v>
      </c>
    </row>
    <row r="319" spans="1:17">
      <c r="A319" t="s">
        <v>410</v>
      </c>
      <c r="B319" s="1">
        <v>45904</v>
      </c>
      <c r="C319" s="1" t="str">
        <f t="shared" si="8"/>
        <v>Sep 2025</v>
      </c>
      <c r="D319" s="1">
        <f t="shared" si="9"/>
        <v>45901</v>
      </c>
      <c r="E319" t="s">
        <v>6</v>
      </c>
      <c r="F319" t="s">
        <v>109</v>
      </c>
      <c r="G319" t="s">
        <v>83</v>
      </c>
      <c r="H319" t="s">
        <v>66</v>
      </c>
      <c r="I319" t="s">
        <v>11</v>
      </c>
      <c r="J319" t="s">
        <v>115</v>
      </c>
      <c r="K319">
        <v>10</v>
      </c>
      <c r="L319" s="2">
        <v>229</v>
      </c>
      <c r="M319" s="3">
        <v>0.05</v>
      </c>
      <c r="N319" s="2">
        <v>2175.5</v>
      </c>
      <c r="O319" s="2">
        <v>1370.21</v>
      </c>
      <c r="P319" s="2">
        <v>805.29</v>
      </c>
      <c r="Q319" t="s">
        <v>68</v>
      </c>
    </row>
    <row r="320" spans="1:17">
      <c r="A320" t="s">
        <v>411</v>
      </c>
      <c r="B320" s="1">
        <v>45687</v>
      </c>
      <c r="C320" s="1" t="str">
        <f t="shared" si="8"/>
        <v>Jan 2025</v>
      </c>
      <c r="D320" s="1">
        <f t="shared" si="9"/>
        <v>45658</v>
      </c>
      <c r="E320" t="s">
        <v>6</v>
      </c>
      <c r="F320" t="s">
        <v>149</v>
      </c>
      <c r="G320" t="s">
        <v>50</v>
      </c>
      <c r="H320" t="s">
        <v>57</v>
      </c>
      <c r="I320" t="s">
        <v>10</v>
      </c>
      <c r="J320" t="s">
        <v>67</v>
      </c>
      <c r="K320">
        <v>3</v>
      </c>
      <c r="L320" s="2">
        <v>220.45</v>
      </c>
      <c r="M320" s="3">
        <v>0</v>
      </c>
      <c r="N320" s="2">
        <v>661.35</v>
      </c>
      <c r="O320" s="2">
        <v>473.94</v>
      </c>
      <c r="P320" s="2">
        <v>187.41</v>
      </c>
      <c r="Q320" t="s">
        <v>75</v>
      </c>
    </row>
    <row r="321" spans="1:17">
      <c r="A321" t="s">
        <v>412</v>
      </c>
      <c r="B321" s="1">
        <v>45676</v>
      </c>
      <c r="C321" s="1" t="str">
        <f t="shared" si="8"/>
        <v>Jan 2025</v>
      </c>
      <c r="D321" s="1">
        <f t="shared" si="9"/>
        <v>45658</v>
      </c>
      <c r="E321" t="s">
        <v>7</v>
      </c>
      <c r="F321" t="s">
        <v>117</v>
      </c>
      <c r="G321" t="s">
        <v>62</v>
      </c>
      <c r="H321" t="s">
        <v>66</v>
      </c>
      <c r="I321" t="s">
        <v>10</v>
      </c>
      <c r="J321" t="s">
        <v>102</v>
      </c>
      <c r="K321">
        <v>5</v>
      </c>
      <c r="L321" s="2">
        <v>39.020000000000003</v>
      </c>
      <c r="M321" s="3">
        <v>0</v>
      </c>
      <c r="N321" s="2">
        <v>195.1</v>
      </c>
      <c r="O321" s="2">
        <v>141.62</v>
      </c>
      <c r="P321" s="2">
        <v>53.48</v>
      </c>
      <c r="Q321" t="s">
        <v>59</v>
      </c>
    </row>
    <row r="322" spans="1:17">
      <c r="A322" t="s">
        <v>413</v>
      </c>
      <c r="B322" s="1">
        <v>45745</v>
      </c>
      <c r="C322" s="1" t="str">
        <f t="shared" ref="C322:C385" si="10">TEXT(D322,"mmm yyyy")</f>
        <v>Mar 2025</v>
      </c>
      <c r="D322" s="1">
        <f t="shared" ref="D322:D385" si="11">DATE(YEAR(B322),MONTH(B322),1)</f>
        <v>45717</v>
      </c>
      <c r="E322" t="s">
        <v>4</v>
      </c>
      <c r="F322" t="s">
        <v>49</v>
      </c>
      <c r="G322" t="s">
        <v>62</v>
      </c>
      <c r="H322" t="s">
        <v>66</v>
      </c>
      <c r="I322" t="s">
        <v>10</v>
      </c>
      <c r="J322" t="s">
        <v>102</v>
      </c>
      <c r="K322">
        <v>1</v>
      </c>
      <c r="L322" s="2">
        <v>36.86</v>
      </c>
      <c r="M322" s="3">
        <v>0</v>
      </c>
      <c r="N322" s="2">
        <v>36.86</v>
      </c>
      <c r="O322" s="2">
        <v>27.36</v>
      </c>
      <c r="P322" s="2">
        <v>9.5</v>
      </c>
      <c r="Q322" t="s">
        <v>53</v>
      </c>
    </row>
    <row r="323" spans="1:17">
      <c r="A323" t="s">
        <v>414</v>
      </c>
      <c r="B323" s="1">
        <v>45771</v>
      </c>
      <c r="C323" s="1" t="str">
        <f t="shared" si="10"/>
        <v>Apr 2025</v>
      </c>
      <c r="D323" s="1">
        <f t="shared" si="11"/>
        <v>45748</v>
      </c>
      <c r="E323" t="s">
        <v>4</v>
      </c>
      <c r="F323" t="s">
        <v>55</v>
      </c>
      <c r="G323" t="s">
        <v>91</v>
      </c>
      <c r="H323" t="s">
        <v>51</v>
      </c>
      <c r="I323" t="s">
        <v>12</v>
      </c>
      <c r="J323" t="s">
        <v>112</v>
      </c>
      <c r="K323">
        <v>4</v>
      </c>
      <c r="L323" s="2">
        <v>7.74</v>
      </c>
      <c r="M323" s="3">
        <v>0.05</v>
      </c>
      <c r="N323" s="2">
        <v>29.41</v>
      </c>
      <c r="O323" s="2">
        <v>19.55</v>
      </c>
      <c r="P323" s="2">
        <v>9.86</v>
      </c>
      <c r="Q323" t="s">
        <v>75</v>
      </c>
    </row>
    <row r="324" spans="1:17">
      <c r="A324" t="s">
        <v>415</v>
      </c>
      <c r="B324" s="1">
        <v>45685</v>
      </c>
      <c r="C324" s="1" t="str">
        <f t="shared" si="10"/>
        <v>Jan 2025</v>
      </c>
      <c r="D324" s="1">
        <f t="shared" si="11"/>
        <v>45658</v>
      </c>
      <c r="E324" t="s">
        <v>4</v>
      </c>
      <c r="F324" t="s">
        <v>49</v>
      </c>
      <c r="G324" t="s">
        <v>50</v>
      </c>
      <c r="H324" t="s">
        <v>66</v>
      </c>
      <c r="I324" t="s">
        <v>10</v>
      </c>
      <c r="J324" t="s">
        <v>102</v>
      </c>
      <c r="K324">
        <v>3</v>
      </c>
      <c r="L324" s="2">
        <v>41.46</v>
      </c>
      <c r="M324" s="3">
        <v>0.1</v>
      </c>
      <c r="N324" s="2">
        <v>111.94</v>
      </c>
      <c r="O324" s="2">
        <v>97.87</v>
      </c>
      <c r="P324" s="2">
        <v>14.07</v>
      </c>
      <c r="Q324" t="s">
        <v>59</v>
      </c>
    </row>
    <row r="325" spans="1:17">
      <c r="A325" t="s">
        <v>416</v>
      </c>
      <c r="B325" s="1">
        <v>45869</v>
      </c>
      <c r="C325" s="1" t="str">
        <f t="shared" si="10"/>
        <v>Jul 2025</v>
      </c>
      <c r="D325" s="1">
        <f t="shared" si="11"/>
        <v>45839</v>
      </c>
      <c r="E325" t="s">
        <v>7</v>
      </c>
      <c r="F325" t="s">
        <v>61</v>
      </c>
      <c r="G325" t="s">
        <v>62</v>
      </c>
      <c r="H325" t="s">
        <v>66</v>
      </c>
      <c r="I325" t="s">
        <v>11</v>
      </c>
      <c r="J325" t="s">
        <v>58</v>
      </c>
      <c r="K325">
        <v>1</v>
      </c>
      <c r="L325" s="2">
        <v>42.48</v>
      </c>
      <c r="M325" s="3">
        <v>0.1</v>
      </c>
      <c r="N325" s="2">
        <v>38.229999999999997</v>
      </c>
      <c r="O325" s="2">
        <v>34.67</v>
      </c>
      <c r="P325" s="2">
        <v>3.56</v>
      </c>
      <c r="Q325" t="s">
        <v>68</v>
      </c>
    </row>
    <row r="326" spans="1:17">
      <c r="A326" t="s">
        <v>417</v>
      </c>
      <c r="B326" s="1">
        <v>45699</v>
      </c>
      <c r="C326" s="1" t="str">
        <f t="shared" si="10"/>
        <v>Feb 2025</v>
      </c>
      <c r="D326" s="1">
        <f t="shared" si="11"/>
        <v>45689</v>
      </c>
      <c r="E326" t="s">
        <v>6</v>
      </c>
      <c r="F326" t="s">
        <v>109</v>
      </c>
      <c r="G326" t="s">
        <v>83</v>
      </c>
      <c r="H326" t="s">
        <v>66</v>
      </c>
      <c r="I326" t="s">
        <v>12</v>
      </c>
      <c r="J326" t="s">
        <v>74</v>
      </c>
      <c r="K326">
        <v>3</v>
      </c>
      <c r="L326" s="2">
        <v>9.39</v>
      </c>
      <c r="M326" s="3">
        <v>0</v>
      </c>
      <c r="N326" s="2">
        <v>28.17</v>
      </c>
      <c r="O326" s="2">
        <v>14.69</v>
      </c>
      <c r="P326" s="2">
        <v>13.48</v>
      </c>
      <c r="Q326" t="s">
        <v>68</v>
      </c>
    </row>
    <row r="327" spans="1:17">
      <c r="A327" t="s">
        <v>418</v>
      </c>
      <c r="B327" s="1">
        <v>45908</v>
      </c>
      <c r="C327" s="1" t="str">
        <f t="shared" si="10"/>
        <v>Sep 2025</v>
      </c>
      <c r="D327" s="1">
        <f t="shared" si="11"/>
        <v>45901</v>
      </c>
      <c r="E327" t="s">
        <v>7</v>
      </c>
      <c r="F327" t="s">
        <v>101</v>
      </c>
      <c r="G327" t="s">
        <v>94</v>
      </c>
      <c r="H327" t="s">
        <v>51</v>
      </c>
      <c r="I327" t="s">
        <v>11</v>
      </c>
      <c r="J327" t="s">
        <v>58</v>
      </c>
      <c r="K327">
        <v>3</v>
      </c>
      <c r="L327" s="2">
        <v>46.77</v>
      </c>
      <c r="M327" s="3">
        <v>0.1</v>
      </c>
      <c r="N327" s="2">
        <v>126.28</v>
      </c>
      <c r="O327" s="2">
        <v>91.02</v>
      </c>
      <c r="P327" s="2">
        <v>35.26</v>
      </c>
      <c r="Q327" t="s">
        <v>68</v>
      </c>
    </row>
    <row r="328" spans="1:17">
      <c r="A328" t="s">
        <v>419</v>
      </c>
      <c r="B328" s="1">
        <v>45849</v>
      </c>
      <c r="C328" s="1" t="str">
        <f t="shared" si="10"/>
        <v>Jul 2025</v>
      </c>
      <c r="D328" s="1">
        <f t="shared" si="11"/>
        <v>45839</v>
      </c>
      <c r="E328" t="s">
        <v>5</v>
      </c>
      <c r="F328" t="s">
        <v>79</v>
      </c>
      <c r="G328" t="s">
        <v>62</v>
      </c>
      <c r="H328" t="s">
        <v>57</v>
      </c>
      <c r="I328" t="s">
        <v>11</v>
      </c>
      <c r="J328" t="s">
        <v>115</v>
      </c>
      <c r="K328">
        <v>4</v>
      </c>
      <c r="L328" s="2">
        <v>223.7</v>
      </c>
      <c r="M328" s="3">
        <v>0</v>
      </c>
      <c r="N328" s="2">
        <v>894.8</v>
      </c>
      <c r="O328" s="2">
        <v>646.96</v>
      </c>
      <c r="P328" s="2">
        <v>247.84</v>
      </c>
      <c r="Q328" t="s">
        <v>68</v>
      </c>
    </row>
    <row r="329" spans="1:17">
      <c r="A329" t="s">
        <v>420</v>
      </c>
      <c r="B329" s="1">
        <v>45710</v>
      </c>
      <c r="C329" s="1" t="str">
        <f t="shared" si="10"/>
        <v>Feb 2025</v>
      </c>
      <c r="D329" s="1">
        <f t="shared" si="11"/>
        <v>45689</v>
      </c>
      <c r="E329" t="s">
        <v>6</v>
      </c>
      <c r="F329" t="s">
        <v>149</v>
      </c>
      <c r="G329" t="s">
        <v>62</v>
      </c>
      <c r="H329" t="s">
        <v>57</v>
      </c>
      <c r="I329" t="s">
        <v>12</v>
      </c>
      <c r="J329" t="s">
        <v>77</v>
      </c>
      <c r="K329">
        <v>3</v>
      </c>
      <c r="L329" s="2">
        <v>14.05</v>
      </c>
      <c r="M329" s="3">
        <v>0</v>
      </c>
      <c r="N329" s="2">
        <v>42.15</v>
      </c>
      <c r="O329" s="2">
        <v>25.69</v>
      </c>
      <c r="P329" s="2">
        <v>16.46</v>
      </c>
      <c r="Q329" t="s">
        <v>68</v>
      </c>
    </row>
    <row r="330" spans="1:17">
      <c r="A330" t="s">
        <v>421</v>
      </c>
      <c r="B330" s="1">
        <v>45833</v>
      </c>
      <c r="C330" s="1" t="str">
        <f t="shared" si="10"/>
        <v>Jun 2025</v>
      </c>
      <c r="D330" s="1">
        <f t="shared" si="11"/>
        <v>45809</v>
      </c>
      <c r="E330" t="s">
        <v>5</v>
      </c>
      <c r="F330" t="s">
        <v>73</v>
      </c>
      <c r="G330" t="s">
        <v>83</v>
      </c>
      <c r="H330" t="s">
        <v>51</v>
      </c>
      <c r="I330" t="s">
        <v>12</v>
      </c>
      <c r="J330" t="s">
        <v>74</v>
      </c>
      <c r="K330">
        <v>4</v>
      </c>
      <c r="L330" s="2">
        <v>9.36</v>
      </c>
      <c r="M330" s="3">
        <v>0.1</v>
      </c>
      <c r="N330" s="2">
        <v>33.700000000000003</v>
      </c>
      <c r="O330" s="2">
        <v>19.68</v>
      </c>
      <c r="P330" s="2">
        <v>14.02</v>
      </c>
      <c r="Q330" t="s">
        <v>53</v>
      </c>
    </row>
    <row r="331" spans="1:17">
      <c r="A331" t="s">
        <v>422</v>
      </c>
      <c r="B331" s="1">
        <v>45959</v>
      </c>
      <c r="C331" s="1" t="str">
        <f t="shared" si="10"/>
        <v>Oct 2025</v>
      </c>
      <c r="D331" s="1">
        <f t="shared" si="11"/>
        <v>45931</v>
      </c>
      <c r="E331" t="s">
        <v>6</v>
      </c>
      <c r="F331" t="s">
        <v>65</v>
      </c>
      <c r="G331" t="s">
        <v>94</v>
      </c>
      <c r="H331" t="s">
        <v>66</v>
      </c>
      <c r="I331" t="s">
        <v>10</v>
      </c>
      <c r="J331" t="s">
        <v>125</v>
      </c>
      <c r="K331">
        <v>1</v>
      </c>
      <c r="L331" s="2">
        <v>338.06</v>
      </c>
      <c r="M331" s="3">
        <v>0</v>
      </c>
      <c r="N331" s="2">
        <v>338.06</v>
      </c>
      <c r="O331" s="2">
        <v>213.84</v>
      </c>
      <c r="P331" s="2">
        <v>124.22</v>
      </c>
      <c r="Q331" t="s">
        <v>53</v>
      </c>
    </row>
    <row r="332" spans="1:17">
      <c r="A332" t="s">
        <v>423</v>
      </c>
      <c r="B332" s="1">
        <v>45996</v>
      </c>
      <c r="C332" s="1" t="str">
        <f t="shared" si="10"/>
        <v>Dec 2025</v>
      </c>
      <c r="D332" s="1">
        <f t="shared" si="11"/>
        <v>45992</v>
      </c>
      <c r="E332" t="s">
        <v>4</v>
      </c>
      <c r="F332" t="s">
        <v>55</v>
      </c>
      <c r="G332" t="s">
        <v>91</v>
      </c>
      <c r="H332" t="s">
        <v>66</v>
      </c>
      <c r="I332" t="s">
        <v>11</v>
      </c>
      <c r="J332" t="s">
        <v>52</v>
      </c>
      <c r="K332">
        <v>1</v>
      </c>
      <c r="L332" s="2">
        <v>23.14</v>
      </c>
      <c r="M332" s="3">
        <v>0.1</v>
      </c>
      <c r="N332" s="2">
        <v>20.83</v>
      </c>
      <c r="O332" s="2">
        <v>14.67</v>
      </c>
      <c r="P332" s="2">
        <v>6.16</v>
      </c>
      <c r="Q332" t="s">
        <v>68</v>
      </c>
    </row>
    <row r="333" spans="1:17">
      <c r="A333" t="s">
        <v>424</v>
      </c>
      <c r="B333" s="1">
        <v>45763</v>
      </c>
      <c r="C333" s="1" t="str">
        <f t="shared" si="10"/>
        <v>Apr 2025</v>
      </c>
      <c r="D333" s="1">
        <f t="shared" si="11"/>
        <v>45748</v>
      </c>
      <c r="E333" t="s">
        <v>4</v>
      </c>
      <c r="F333" t="s">
        <v>104</v>
      </c>
      <c r="G333" t="s">
        <v>83</v>
      </c>
      <c r="H333" t="s">
        <v>57</v>
      </c>
      <c r="I333" t="s">
        <v>10</v>
      </c>
      <c r="J333" t="s">
        <v>130</v>
      </c>
      <c r="K333">
        <v>2</v>
      </c>
      <c r="L333" s="2">
        <v>188.2</v>
      </c>
      <c r="M333" s="3">
        <v>0.15</v>
      </c>
      <c r="N333" s="2">
        <v>319.94</v>
      </c>
      <c r="O333" s="2">
        <v>226.21</v>
      </c>
      <c r="P333" s="2">
        <v>93.73</v>
      </c>
      <c r="Q333" t="s">
        <v>53</v>
      </c>
    </row>
    <row r="334" spans="1:17">
      <c r="A334" t="s">
        <v>425</v>
      </c>
      <c r="B334" s="1">
        <v>45919</v>
      </c>
      <c r="C334" s="1" t="str">
        <f t="shared" si="10"/>
        <v>Sep 2025</v>
      </c>
      <c r="D334" s="1">
        <f t="shared" si="11"/>
        <v>45901</v>
      </c>
      <c r="E334" t="s">
        <v>4</v>
      </c>
      <c r="F334" t="s">
        <v>49</v>
      </c>
      <c r="G334" t="s">
        <v>71</v>
      </c>
      <c r="H334" t="s">
        <v>66</v>
      </c>
      <c r="I334" t="s">
        <v>10</v>
      </c>
      <c r="J334" t="s">
        <v>102</v>
      </c>
      <c r="K334">
        <v>1</v>
      </c>
      <c r="L334" s="2">
        <v>37</v>
      </c>
      <c r="M334" s="3">
        <v>0</v>
      </c>
      <c r="N334" s="2">
        <v>37</v>
      </c>
      <c r="O334" s="2">
        <v>24.76</v>
      </c>
      <c r="P334" s="2">
        <v>12.24</v>
      </c>
      <c r="Q334" t="s">
        <v>68</v>
      </c>
    </row>
    <row r="335" spans="1:17">
      <c r="A335" t="s">
        <v>426</v>
      </c>
      <c r="B335" s="1">
        <v>45841</v>
      </c>
      <c r="C335" s="1" t="str">
        <f t="shared" si="10"/>
        <v>Jul 2025</v>
      </c>
      <c r="D335" s="1">
        <f t="shared" si="11"/>
        <v>45839</v>
      </c>
      <c r="E335" t="s">
        <v>7</v>
      </c>
      <c r="F335" t="s">
        <v>101</v>
      </c>
      <c r="G335" t="s">
        <v>56</v>
      </c>
      <c r="H335" t="s">
        <v>51</v>
      </c>
      <c r="I335" t="s">
        <v>10</v>
      </c>
      <c r="J335" t="s">
        <v>67</v>
      </c>
      <c r="K335">
        <v>2</v>
      </c>
      <c r="L335" s="2">
        <v>190.82</v>
      </c>
      <c r="M335" s="3">
        <v>0.1</v>
      </c>
      <c r="N335" s="2">
        <v>343.48</v>
      </c>
      <c r="O335" s="2">
        <v>302.68</v>
      </c>
      <c r="P335" s="2">
        <v>40.799999999999997</v>
      </c>
      <c r="Q335" t="s">
        <v>53</v>
      </c>
    </row>
    <row r="336" spans="1:17">
      <c r="A336" t="s">
        <v>427</v>
      </c>
      <c r="B336" s="1">
        <v>46001</v>
      </c>
      <c r="C336" s="1" t="str">
        <f t="shared" si="10"/>
        <v>Dec 2025</v>
      </c>
      <c r="D336" s="1">
        <f t="shared" si="11"/>
        <v>45992</v>
      </c>
      <c r="E336" t="s">
        <v>4</v>
      </c>
      <c r="F336" t="s">
        <v>49</v>
      </c>
      <c r="G336" t="s">
        <v>85</v>
      </c>
      <c r="H336" t="s">
        <v>57</v>
      </c>
      <c r="I336" t="s">
        <v>11</v>
      </c>
      <c r="J336" t="s">
        <v>52</v>
      </c>
      <c r="K336">
        <v>5</v>
      </c>
      <c r="L336" s="2">
        <v>26.18</v>
      </c>
      <c r="M336" s="3">
        <v>0</v>
      </c>
      <c r="N336" s="2">
        <v>130.9</v>
      </c>
      <c r="O336" s="2">
        <v>105.35</v>
      </c>
      <c r="P336" s="2">
        <v>25.55</v>
      </c>
      <c r="Q336" t="s">
        <v>68</v>
      </c>
    </row>
    <row r="337" spans="1:17">
      <c r="A337" t="s">
        <v>428</v>
      </c>
      <c r="B337" s="1">
        <v>45891</v>
      </c>
      <c r="C337" s="1" t="str">
        <f t="shared" si="10"/>
        <v>Aug 2025</v>
      </c>
      <c r="D337" s="1">
        <f t="shared" si="11"/>
        <v>45870</v>
      </c>
      <c r="E337" t="s">
        <v>6</v>
      </c>
      <c r="F337" t="s">
        <v>149</v>
      </c>
      <c r="G337" t="s">
        <v>62</v>
      </c>
      <c r="H337" t="s">
        <v>57</v>
      </c>
      <c r="I337" t="s">
        <v>12</v>
      </c>
      <c r="J337" t="s">
        <v>74</v>
      </c>
      <c r="K337">
        <v>2</v>
      </c>
      <c r="L337" s="2">
        <v>9.2200000000000006</v>
      </c>
      <c r="M337" s="3">
        <v>0</v>
      </c>
      <c r="N337" s="2">
        <v>18.440000000000001</v>
      </c>
      <c r="O337" s="2">
        <v>14.42</v>
      </c>
      <c r="P337" s="2">
        <v>4.0199999999999996</v>
      </c>
      <c r="Q337" t="s">
        <v>53</v>
      </c>
    </row>
    <row r="338" spans="1:17">
      <c r="A338" t="s">
        <v>429</v>
      </c>
      <c r="B338" s="1">
        <v>45706</v>
      </c>
      <c r="C338" s="1" t="str">
        <f t="shared" si="10"/>
        <v>Feb 2025</v>
      </c>
      <c r="D338" s="1">
        <f t="shared" si="11"/>
        <v>45689</v>
      </c>
      <c r="E338" t="s">
        <v>7</v>
      </c>
      <c r="F338" t="s">
        <v>117</v>
      </c>
      <c r="G338" t="s">
        <v>71</v>
      </c>
      <c r="H338" t="s">
        <v>66</v>
      </c>
      <c r="I338" t="s">
        <v>11</v>
      </c>
      <c r="J338" t="s">
        <v>52</v>
      </c>
      <c r="K338">
        <v>5</v>
      </c>
      <c r="L338" s="2">
        <v>26.15</v>
      </c>
      <c r="M338" s="3">
        <v>0</v>
      </c>
      <c r="N338" s="2">
        <v>130.75</v>
      </c>
      <c r="O338" s="2">
        <v>80.88</v>
      </c>
      <c r="P338" s="2">
        <v>49.87</v>
      </c>
      <c r="Q338" t="s">
        <v>53</v>
      </c>
    </row>
    <row r="339" spans="1:17">
      <c r="A339" t="s">
        <v>430</v>
      </c>
      <c r="B339" s="1">
        <v>45848</v>
      </c>
      <c r="C339" s="1" t="str">
        <f t="shared" si="10"/>
        <v>Jul 2025</v>
      </c>
      <c r="D339" s="1">
        <f t="shared" si="11"/>
        <v>45839</v>
      </c>
      <c r="E339" t="s">
        <v>7</v>
      </c>
      <c r="F339" t="s">
        <v>117</v>
      </c>
      <c r="G339" t="s">
        <v>91</v>
      </c>
      <c r="H339" t="s">
        <v>57</v>
      </c>
      <c r="I339" t="s">
        <v>12</v>
      </c>
      <c r="J339" t="s">
        <v>112</v>
      </c>
      <c r="K339">
        <v>1</v>
      </c>
      <c r="L339" s="2">
        <v>7.9</v>
      </c>
      <c r="M339" s="3">
        <v>0.1</v>
      </c>
      <c r="N339" s="2">
        <v>7.11</v>
      </c>
      <c r="O339" s="2">
        <v>4.75</v>
      </c>
      <c r="P339" s="2">
        <v>2.36</v>
      </c>
      <c r="Q339" t="s">
        <v>68</v>
      </c>
    </row>
    <row r="340" spans="1:17">
      <c r="A340" t="s">
        <v>431</v>
      </c>
      <c r="B340" s="1">
        <v>45715</v>
      </c>
      <c r="C340" s="1" t="str">
        <f t="shared" si="10"/>
        <v>Feb 2025</v>
      </c>
      <c r="D340" s="1">
        <f t="shared" si="11"/>
        <v>45689</v>
      </c>
      <c r="E340" t="s">
        <v>4</v>
      </c>
      <c r="F340" t="s">
        <v>55</v>
      </c>
      <c r="G340" t="s">
        <v>91</v>
      </c>
      <c r="H340" t="s">
        <v>51</v>
      </c>
      <c r="I340" t="s">
        <v>11</v>
      </c>
      <c r="J340" t="s">
        <v>52</v>
      </c>
      <c r="K340">
        <v>10</v>
      </c>
      <c r="L340" s="2">
        <v>27.14</v>
      </c>
      <c r="M340" s="3">
        <v>0</v>
      </c>
      <c r="N340" s="2">
        <v>271.39999999999998</v>
      </c>
      <c r="O340" s="2">
        <v>175</v>
      </c>
      <c r="P340" s="2">
        <v>96.4</v>
      </c>
      <c r="Q340" t="s">
        <v>75</v>
      </c>
    </row>
    <row r="341" spans="1:17">
      <c r="A341" t="s">
        <v>432</v>
      </c>
      <c r="B341" s="1">
        <v>45841</v>
      </c>
      <c r="C341" s="1" t="str">
        <f t="shared" si="10"/>
        <v>Jul 2025</v>
      </c>
      <c r="D341" s="1">
        <f t="shared" si="11"/>
        <v>45839</v>
      </c>
      <c r="E341" t="s">
        <v>7</v>
      </c>
      <c r="F341" t="s">
        <v>61</v>
      </c>
      <c r="G341" t="s">
        <v>50</v>
      </c>
      <c r="H341" t="s">
        <v>57</v>
      </c>
      <c r="I341" t="s">
        <v>10</v>
      </c>
      <c r="J341" t="s">
        <v>130</v>
      </c>
      <c r="K341">
        <v>5</v>
      </c>
      <c r="L341" s="2">
        <v>196.85</v>
      </c>
      <c r="M341" s="3">
        <v>0</v>
      </c>
      <c r="N341" s="2">
        <v>984.25</v>
      </c>
      <c r="O341" s="2">
        <v>654.45000000000005</v>
      </c>
      <c r="P341" s="2">
        <v>329.8</v>
      </c>
      <c r="Q341" t="s">
        <v>53</v>
      </c>
    </row>
    <row r="342" spans="1:17">
      <c r="A342" t="s">
        <v>433</v>
      </c>
      <c r="B342" s="1">
        <v>45690</v>
      </c>
      <c r="C342" s="1" t="str">
        <f t="shared" si="10"/>
        <v>Feb 2025</v>
      </c>
      <c r="D342" s="1">
        <f t="shared" si="11"/>
        <v>45689</v>
      </c>
      <c r="E342" t="s">
        <v>4</v>
      </c>
      <c r="F342" t="s">
        <v>104</v>
      </c>
      <c r="G342" t="s">
        <v>56</v>
      </c>
      <c r="H342" t="s">
        <v>66</v>
      </c>
      <c r="I342" t="s">
        <v>12</v>
      </c>
      <c r="J342" t="s">
        <v>74</v>
      </c>
      <c r="K342">
        <v>1</v>
      </c>
      <c r="L342" s="2">
        <v>10.91</v>
      </c>
      <c r="M342" s="3">
        <v>0.15</v>
      </c>
      <c r="N342" s="2">
        <v>9.27</v>
      </c>
      <c r="O342" s="2">
        <v>8.19</v>
      </c>
      <c r="P342" s="2">
        <v>1.08</v>
      </c>
      <c r="Q342" t="s">
        <v>59</v>
      </c>
    </row>
    <row r="343" spans="1:17">
      <c r="A343" t="s">
        <v>434</v>
      </c>
      <c r="B343" s="1">
        <v>45923</v>
      </c>
      <c r="C343" s="1" t="str">
        <f t="shared" si="10"/>
        <v>Sep 2025</v>
      </c>
      <c r="D343" s="1">
        <f t="shared" si="11"/>
        <v>45901</v>
      </c>
      <c r="E343" t="s">
        <v>7</v>
      </c>
      <c r="F343" t="s">
        <v>61</v>
      </c>
      <c r="G343" t="s">
        <v>94</v>
      </c>
      <c r="H343" t="s">
        <v>51</v>
      </c>
      <c r="I343" t="s">
        <v>10</v>
      </c>
      <c r="J343" t="s">
        <v>102</v>
      </c>
      <c r="K343">
        <v>1</v>
      </c>
      <c r="L343" s="2">
        <v>41.82</v>
      </c>
      <c r="M343" s="3">
        <v>0</v>
      </c>
      <c r="N343" s="2">
        <v>41.82</v>
      </c>
      <c r="O343" s="2">
        <v>27.79</v>
      </c>
      <c r="P343" s="2">
        <v>14.03</v>
      </c>
      <c r="Q343" t="s">
        <v>68</v>
      </c>
    </row>
    <row r="344" spans="1:17">
      <c r="A344" t="s">
        <v>435</v>
      </c>
      <c r="B344" s="1">
        <v>45916</v>
      </c>
      <c r="C344" s="1" t="str">
        <f t="shared" si="10"/>
        <v>Sep 2025</v>
      </c>
      <c r="D344" s="1">
        <f t="shared" si="11"/>
        <v>45901</v>
      </c>
      <c r="E344" t="s">
        <v>6</v>
      </c>
      <c r="F344" t="s">
        <v>149</v>
      </c>
      <c r="G344" t="s">
        <v>94</v>
      </c>
      <c r="H344" t="s">
        <v>66</v>
      </c>
      <c r="I344" t="s">
        <v>12</v>
      </c>
      <c r="J344" t="s">
        <v>138</v>
      </c>
      <c r="K344">
        <v>5</v>
      </c>
      <c r="L344" s="2">
        <v>25.66</v>
      </c>
      <c r="M344" s="3">
        <v>0.1</v>
      </c>
      <c r="N344" s="2">
        <v>115.47</v>
      </c>
      <c r="O344" s="2">
        <v>79.06</v>
      </c>
      <c r="P344" s="2">
        <v>36.409999999999997</v>
      </c>
      <c r="Q344" t="s">
        <v>68</v>
      </c>
    </row>
    <row r="345" spans="1:17">
      <c r="A345" t="s">
        <v>436</v>
      </c>
      <c r="B345" s="1">
        <v>45939</v>
      </c>
      <c r="C345" s="1" t="str">
        <f t="shared" si="10"/>
        <v>Oct 2025</v>
      </c>
      <c r="D345" s="1">
        <f t="shared" si="11"/>
        <v>45931</v>
      </c>
      <c r="E345" t="s">
        <v>4</v>
      </c>
      <c r="F345" t="s">
        <v>55</v>
      </c>
      <c r="G345" t="s">
        <v>85</v>
      </c>
      <c r="H345" t="s">
        <v>57</v>
      </c>
      <c r="I345" t="s">
        <v>10</v>
      </c>
      <c r="J345" t="s">
        <v>67</v>
      </c>
      <c r="K345">
        <v>2</v>
      </c>
      <c r="L345" s="2">
        <v>199.86</v>
      </c>
      <c r="M345" s="3">
        <v>0.1</v>
      </c>
      <c r="N345" s="2">
        <v>359.75</v>
      </c>
      <c r="O345" s="2">
        <v>261.12</v>
      </c>
      <c r="P345" s="2">
        <v>98.63</v>
      </c>
      <c r="Q345" t="s">
        <v>75</v>
      </c>
    </row>
    <row r="346" spans="1:17">
      <c r="A346" t="s">
        <v>437</v>
      </c>
      <c r="B346" s="1">
        <v>45819</v>
      </c>
      <c r="C346" s="1" t="str">
        <f t="shared" si="10"/>
        <v>Jun 2025</v>
      </c>
      <c r="D346" s="1">
        <f t="shared" si="11"/>
        <v>45809</v>
      </c>
      <c r="E346" t="s">
        <v>4</v>
      </c>
      <c r="F346" t="s">
        <v>104</v>
      </c>
      <c r="G346" t="s">
        <v>94</v>
      </c>
      <c r="H346" t="s">
        <v>51</v>
      </c>
      <c r="I346" t="s">
        <v>11</v>
      </c>
      <c r="J346" t="s">
        <v>63</v>
      </c>
      <c r="K346">
        <v>4</v>
      </c>
      <c r="L346" s="2">
        <v>72.31</v>
      </c>
      <c r="M346" s="3">
        <v>0.1</v>
      </c>
      <c r="N346" s="2">
        <v>260.32</v>
      </c>
      <c r="O346" s="2">
        <v>186.18</v>
      </c>
      <c r="P346" s="2">
        <v>74.14</v>
      </c>
      <c r="Q346" t="s">
        <v>59</v>
      </c>
    </row>
    <row r="347" spans="1:17">
      <c r="A347" t="s">
        <v>438</v>
      </c>
      <c r="B347" s="1">
        <v>45918</v>
      </c>
      <c r="C347" s="1" t="str">
        <f t="shared" si="10"/>
        <v>Sep 2025</v>
      </c>
      <c r="D347" s="1">
        <f t="shared" si="11"/>
        <v>45901</v>
      </c>
      <c r="E347" t="s">
        <v>8</v>
      </c>
      <c r="F347" t="s">
        <v>82</v>
      </c>
      <c r="G347" t="s">
        <v>91</v>
      </c>
      <c r="H347" t="s">
        <v>57</v>
      </c>
      <c r="I347" t="s">
        <v>10</v>
      </c>
      <c r="J347" t="s">
        <v>125</v>
      </c>
      <c r="K347">
        <v>3</v>
      </c>
      <c r="L347" s="2">
        <v>320.12</v>
      </c>
      <c r="M347" s="3">
        <v>0.05</v>
      </c>
      <c r="N347" s="2">
        <v>912.34</v>
      </c>
      <c r="O347" s="2">
        <v>604.07000000000005</v>
      </c>
      <c r="P347" s="2">
        <v>308.27</v>
      </c>
      <c r="Q347" t="s">
        <v>75</v>
      </c>
    </row>
    <row r="348" spans="1:17">
      <c r="A348" t="s">
        <v>439</v>
      </c>
      <c r="B348" s="1">
        <v>45994</v>
      </c>
      <c r="C348" s="1" t="str">
        <f t="shared" si="10"/>
        <v>Dec 2025</v>
      </c>
      <c r="D348" s="1">
        <f t="shared" si="11"/>
        <v>45992</v>
      </c>
      <c r="E348" t="s">
        <v>6</v>
      </c>
      <c r="F348" t="s">
        <v>65</v>
      </c>
      <c r="G348" t="s">
        <v>71</v>
      </c>
      <c r="H348" t="s">
        <v>66</v>
      </c>
      <c r="I348" t="s">
        <v>12</v>
      </c>
      <c r="J348" t="s">
        <v>138</v>
      </c>
      <c r="K348">
        <v>1</v>
      </c>
      <c r="L348" s="2">
        <v>29.88</v>
      </c>
      <c r="M348" s="3">
        <v>0</v>
      </c>
      <c r="N348" s="2">
        <v>29.88</v>
      </c>
      <c r="O348" s="2">
        <v>15.56</v>
      </c>
      <c r="P348" s="2">
        <v>14.32</v>
      </c>
      <c r="Q348" t="s">
        <v>59</v>
      </c>
    </row>
    <row r="349" spans="1:17">
      <c r="A349" t="s">
        <v>440</v>
      </c>
      <c r="B349" s="1">
        <v>46017</v>
      </c>
      <c r="C349" s="1" t="str">
        <f t="shared" si="10"/>
        <v>Dec 2025</v>
      </c>
      <c r="D349" s="1">
        <f t="shared" si="11"/>
        <v>45992</v>
      </c>
      <c r="E349" t="s">
        <v>4</v>
      </c>
      <c r="F349" t="s">
        <v>49</v>
      </c>
      <c r="G349" t="s">
        <v>56</v>
      </c>
      <c r="H349" t="s">
        <v>51</v>
      </c>
      <c r="I349" t="s">
        <v>11</v>
      </c>
      <c r="J349" t="s">
        <v>52</v>
      </c>
      <c r="K349">
        <v>6</v>
      </c>
      <c r="L349" s="2">
        <v>25.21</v>
      </c>
      <c r="M349" s="3">
        <v>0.1</v>
      </c>
      <c r="N349" s="2">
        <v>136.13</v>
      </c>
      <c r="O349" s="2">
        <v>83.51</v>
      </c>
      <c r="P349" s="2">
        <v>52.62</v>
      </c>
      <c r="Q349" t="s">
        <v>75</v>
      </c>
    </row>
    <row r="350" spans="1:17">
      <c r="A350" t="s">
        <v>441</v>
      </c>
      <c r="B350" s="1">
        <v>45768</v>
      </c>
      <c r="C350" s="1" t="str">
        <f t="shared" si="10"/>
        <v>Apr 2025</v>
      </c>
      <c r="D350" s="1">
        <f t="shared" si="11"/>
        <v>45748</v>
      </c>
      <c r="E350" t="s">
        <v>4</v>
      </c>
      <c r="F350" t="s">
        <v>49</v>
      </c>
      <c r="G350" t="s">
        <v>91</v>
      </c>
      <c r="H350" t="s">
        <v>57</v>
      </c>
      <c r="I350" t="s">
        <v>12</v>
      </c>
      <c r="J350" t="s">
        <v>112</v>
      </c>
      <c r="K350">
        <v>4</v>
      </c>
      <c r="L350" s="2">
        <v>7.39</v>
      </c>
      <c r="M350" s="3">
        <v>0.1</v>
      </c>
      <c r="N350" s="2">
        <v>26.6</v>
      </c>
      <c r="O350" s="2">
        <v>15.78</v>
      </c>
      <c r="P350" s="2">
        <v>10.82</v>
      </c>
      <c r="Q350" t="s">
        <v>68</v>
      </c>
    </row>
    <row r="351" spans="1:17">
      <c r="A351" t="s">
        <v>442</v>
      </c>
      <c r="B351" s="1">
        <v>45913</v>
      </c>
      <c r="C351" s="1" t="str">
        <f t="shared" si="10"/>
        <v>Sep 2025</v>
      </c>
      <c r="D351" s="1">
        <f t="shared" si="11"/>
        <v>45901</v>
      </c>
      <c r="E351" t="s">
        <v>7</v>
      </c>
      <c r="F351" t="s">
        <v>117</v>
      </c>
      <c r="G351" t="s">
        <v>83</v>
      </c>
      <c r="H351" t="s">
        <v>66</v>
      </c>
      <c r="I351" t="s">
        <v>11</v>
      </c>
      <c r="J351" t="s">
        <v>107</v>
      </c>
      <c r="K351">
        <v>4</v>
      </c>
      <c r="L351" s="2">
        <v>56.19</v>
      </c>
      <c r="M351" s="3">
        <v>0.1</v>
      </c>
      <c r="N351" s="2">
        <v>202.28</v>
      </c>
      <c r="O351" s="2">
        <v>173.43</v>
      </c>
      <c r="P351" s="2">
        <v>28.85</v>
      </c>
      <c r="Q351" t="s">
        <v>68</v>
      </c>
    </row>
    <row r="352" spans="1:17">
      <c r="A352" t="s">
        <v>443</v>
      </c>
      <c r="B352" s="1">
        <v>45723</v>
      </c>
      <c r="C352" s="1" t="str">
        <f t="shared" si="10"/>
        <v>Mar 2025</v>
      </c>
      <c r="D352" s="1">
        <f t="shared" si="11"/>
        <v>45717</v>
      </c>
      <c r="E352" t="s">
        <v>7</v>
      </c>
      <c r="F352" t="s">
        <v>101</v>
      </c>
      <c r="G352" t="s">
        <v>56</v>
      </c>
      <c r="H352" t="s">
        <v>57</v>
      </c>
      <c r="I352" t="s">
        <v>11</v>
      </c>
      <c r="J352" t="s">
        <v>63</v>
      </c>
      <c r="K352">
        <v>3</v>
      </c>
      <c r="L352" s="2">
        <v>82.67</v>
      </c>
      <c r="M352" s="3">
        <v>0.05</v>
      </c>
      <c r="N352" s="2">
        <v>235.61</v>
      </c>
      <c r="O352" s="2">
        <v>166.47</v>
      </c>
      <c r="P352" s="2">
        <v>69.14</v>
      </c>
      <c r="Q352" t="s">
        <v>75</v>
      </c>
    </row>
    <row r="353" spans="1:17">
      <c r="A353" t="s">
        <v>444</v>
      </c>
      <c r="B353" s="1">
        <v>45833</v>
      </c>
      <c r="C353" s="1" t="str">
        <f t="shared" si="10"/>
        <v>Jun 2025</v>
      </c>
      <c r="D353" s="1">
        <f t="shared" si="11"/>
        <v>45809</v>
      </c>
      <c r="E353" t="s">
        <v>4</v>
      </c>
      <c r="F353" t="s">
        <v>55</v>
      </c>
      <c r="G353" t="s">
        <v>62</v>
      </c>
      <c r="H353" t="s">
        <v>66</v>
      </c>
      <c r="I353" t="s">
        <v>12</v>
      </c>
      <c r="J353" t="s">
        <v>138</v>
      </c>
      <c r="K353">
        <v>5</v>
      </c>
      <c r="L353" s="2">
        <v>26.05</v>
      </c>
      <c r="M353" s="3">
        <v>0.15</v>
      </c>
      <c r="N353" s="2">
        <v>110.71</v>
      </c>
      <c r="O353" s="2">
        <v>95.08</v>
      </c>
      <c r="P353" s="2">
        <v>15.63</v>
      </c>
      <c r="Q353" t="s">
        <v>68</v>
      </c>
    </row>
    <row r="354" spans="1:17">
      <c r="A354" t="s">
        <v>445</v>
      </c>
      <c r="B354" s="1">
        <v>45760</v>
      </c>
      <c r="C354" s="1" t="str">
        <f t="shared" si="10"/>
        <v>Apr 2025</v>
      </c>
      <c r="D354" s="1">
        <f t="shared" si="11"/>
        <v>45748</v>
      </c>
      <c r="E354" t="s">
        <v>5</v>
      </c>
      <c r="F354" t="s">
        <v>73</v>
      </c>
      <c r="G354" t="s">
        <v>62</v>
      </c>
      <c r="H354" t="s">
        <v>66</v>
      </c>
      <c r="I354" t="s">
        <v>11</v>
      </c>
      <c r="J354" t="s">
        <v>107</v>
      </c>
      <c r="K354">
        <v>4</v>
      </c>
      <c r="L354" s="2">
        <v>57.81</v>
      </c>
      <c r="M354" s="3">
        <v>0</v>
      </c>
      <c r="N354" s="2">
        <v>231.24</v>
      </c>
      <c r="O354" s="2">
        <v>188.32</v>
      </c>
      <c r="P354" s="2">
        <v>42.92</v>
      </c>
      <c r="Q354" t="s">
        <v>53</v>
      </c>
    </row>
    <row r="355" spans="1:17">
      <c r="A355" t="s">
        <v>446</v>
      </c>
      <c r="B355" s="1">
        <v>45838</v>
      </c>
      <c r="C355" s="1" t="str">
        <f t="shared" si="10"/>
        <v>Jun 2025</v>
      </c>
      <c r="D355" s="1">
        <f t="shared" si="11"/>
        <v>45809</v>
      </c>
      <c r="E355" t="s">
        <v>4</v>
      </c>
      <c r="F355" t="s">
        <v>55</v>
      </c>
      <c r="G355" t="s">
        <v>50</v>
      </c>
      <c r="H355" t="s">
        <v>51</v>
      </c>
      <c r="I355" t="s">
        <v>10</v>
      </c>
      <c r="J355" t="s">
        <v>67</v>
      </c>
      <c r="K355">
        <v>3</v>
      </c>
      <c r="L355" s="2">
        <v>232.55</v>
      </c>
      <c r="M355" s="3">
        <v>0.1</v>
      </c>
      <c r="N355" s="2">
        <v>627.89</v>
      </c>
      <c r="O355" s="2">
        <v>503.89</v>
      </c>
      <c r="P355" s="2">
        <v>124</v>
      </c>
      <c r="Q355" t="s">
        <v>53</v>
      </c>
    </row>
    <row r="356" spans="1:17">
      <c r="A356" t="s">
        <v>447</v>
      </c>
      <c r="B356" s="1">
        <v>45670</v>
      </c>
      <c r="C356" s="1" t="str">
        <f t="shared" si="10"/>
        <v>Jan 2025</v>
      </c>
      <c r="D356" s="1">
        <f t="shared" si="11"/>
        <v>45658</v>
      </c>
      <c r="E356" t="s">
        <v>5</v>
      </c>
      <c r="F356" t="s">
        <v>97</v>
      </c>
      <c r="G356" t="s">
        <v>71</v>
      </c>
      <c r="H356" t="s">
        <v>51</v>
      </c>
      <c r="I356" t="s">
        <v>12</v>
      </c>
      <c r="J356" t="s">
        <v>112</v>
      </c>
      <c r="K356">
        <v>1</v>
      </c>
      <c r="L356" s="2">
        <v>7.3</v>
      </c>
      <c r="M356" s="3">
        <v>0.05</v>
      </c>
      <c r="N356" s="2">
        <v>6.93</v>
      </c>
      <c r="O356" s="2">
        <v>5.44</v>
      </c>
      <c r="P356" s="2">
        <v>1.49</v>
      </c>
      <c r="Q356" t="s">
        <v>53</v>
      </c>
    </row>
    <row r="357" spans="1:17">
      <c r="A357" t="s">
        <v>448</v>
      </c>
      <c r="B357" s="1">
        <v>46011</v>
      </c>
      <c r="C357" s="1" t="str">
        <f t="shared" si="10"/>
        <v>Dec 2025</v>
      </c>
      <c r="D357" s="1">
        <f t="shared" si="11"/>
        <v>45992</v>
      </c>
      <c r="E357" t="s">
        <v>4</v>
      </c>
      <c r="F357" t="s">
        <v>49</v>
      </c>
      <c r="G357" t="s">
        <v>50</v>
      </c>
      <c r="H357" t="s">
        <v>51</v>
      </c>
      <c r="I357" t="s">
        <v>12</v>
      </c>
      <c r="J357" t="s">
        <v>112</v>
      </c>
      <c r="K357">
        <v>4</v>
      </c>
      <c r="L357" s="2">
        <v>7.26</v>
      </c>
      <c r="M357" s="3">
        <v>0.1</v>
      </c>
      <c r="N357" s="2">
        <v>26.14</v>
      </c>
      <c r="O357" s="2">
        <v>15.99</v>
      </c>
      <c r="P357" s="2">
        <v>10.15</v>
      </c>
      <c r="Q357" t="s">
        <v>59</v>
      </c>
    </row>
    <row r="358" spans="1:17">
      <c r="A358" t="s">
        <v>449</v>
      </c>
      <c r="B358" s="1">
        <v>46012</v>
      </c>
      <c r="C358" s="1" t="str">
        <f t="shared" si="10"/>
        <v>Dec 2025</v>
      </c>
      <c r="D358" s="1">
        <f t="shared" si="11"/>
        <v>45992</v>
      </c>
      <c r="E358" t="s">
        <v>8</v>
      </c>
      <c r="F358" t="s">
        <v>82</v>
      </c>
      <c r="G358" t="s">
        <v>71</v>
      </c>
      <c r="H358" t="s">
        <v>51</v>
      </c>
      <c r="I358" t="s">
        <v>10</v>
      </c>
      <c r="J358" t="s">
        <v>130</v>
      </c>
      <c r="K358">
        <v>6</v>
      </c>
      <c r="L358" s="2">
        <v>177.35</v>
      </c>
      <c r="M358" s="3">
        <v>0.05</v>
      </c>
      <c r="N358" s="2">
        <v>1010.89</v>
      </c>
      <c r="O358" s="2">
        <v>861.65</v>
      </c>
      <c r="P358" s="2">
        <v>149.24</v>
      </c>
      <c r="Q358" t="s">
        <v>75</v>
      </c>
    </row>
    <row r="359" spans="1:17">
      <c r="A359" t="s">
        <v>450</v>
      </c>
      <c r="B359" s="1">
        <v>45773</v>
      </c>
      <c r="C359" s="1" t="str">
        <f t="shared" si="10"/>
        <v>Apr 2025</v>
      </c>
      <c r="D359" s="1">
        <f t="shared" si="11"/>
        <v>45748</v>
      </c>
      <c r="E359" t="s">
        <v>5</v>
      </c>
      <c r="F359" t="s">
        <v>97</v>
      </c>
      <c r="G359" t="s">
        <v>91</v>
      </c>
      <c r="H359" t="s">
        <v>51</v>
      </c>
      <c r="I359" t="s">
        <v>10</v>
      </c>
      <c r="J359" t="s">
        <v>80</v>
      </c>
      <c r="K359">
        <v>4</v>
      </c>
      <c r="L359" s="2">
        <v>153.04</v>
      </c>
      <c r="M359" s="3">
        <v>0.15</v>
      </c>
      <c r="N359" s="2">
        <v>520.34</v>
      </c>
      <c r="O359" s="2">
        <v>354.4</v>
      </c>
      <c r="P359" s="2">
        <v>165.94</v>
      </c>
      <c r="Q359" t="s">
        <v>53</v>
      </c>
    </row>
    <row r="360" spans="1:17">
      <c r="A360" t="s">
        <v>451</v>
      </c>
      <c r="B360" s="1">
        <v>45753</v>
      </c>
      <c r="C360" s="1" t="str">
        <f t="shared" si="10"/>
        <v>Apr 2025</v>
      </c>
      <c r="D360" s="1">
        <f t="shared" si="11"/>
        <v>45748</v>
      </c>
      <c r="E360" t="s">
        <v>5</v>
      </c>
      <c r="F360" t="s">
        <v>79</v>
      </c>
      <c r="G360" t="s">
        <v>71</v>
      </c>
      <c r="H360" t="s">
        <v>51</v>
      </c>
      <c r="I360" t="s">
        <v>11</v>
      </c>
      <c r="J360" t="s">
        <v>107</v>
      </c>
      <c r="K360">
        <v>1</v>
      </c>
      <c r="L360" s="2">
        <v>49.99</v>
      </c>
      <c r="M360" s="3">
        <v>0.05</v>
      </c>
      <c r="N360" s="2">
        <v>47.49</v>
      </c>
      <c r="O360" s="2">
        <v>34.340000000000003</v>
      </c>
      <c r="P360" s="2">
        <v>13.15</v>
      </c>
      <c r="Q360" t="s">
        <v>59</v>
      </c>
    </row>
    <row r="361" spans="1:17">
      <c r="A361" t="s">
        <v>452</v>
      </c>
      <c r="B361" s="1">
        <v>45896</v>
      </c>
      <c r="C361" s="1" t="str">
        <f t="shared" si="10"/>
        <v>Aug 2025</v>
      </c>
      <c r="D361" s="1">
        <f t="shared" si="11"/>
        <v>45870</v>
      </c>
      <c r="E361" t="s">
        <v>4</v>
      </c>
      <c r="F361" t="s">
        <v>104</v>
      </c>
      <c r="G361" t="s">
        <v>71</v>
      </c>
      <c r="H361" t="s">
        <v>57</v>
      </c>
      <c r="I361" t="s">
        <v>10</v>
      </c>
      <c r="J361" t="s">
        <v>125</v>
      </c>
      <c r="K361">
        <v>1</v>
      </c>
      <c r="L361" s="2">
        <v>353.38</v>
      </c>
      <c r="M361" s="3">
        <v>0.15</v>
      </c>
      <c r="N361" s="2">
        <v>300.37</v>
      </c>
      <c r="O361" s="2">
        <v>189.15</v>
      </c>
      <c r="P361" s="2">
        <v>111.22</v>
      </c>
      <c r="Q361" t="s">
        <v>59</v>
      </c>
    </row>
    <row r="362" spans="1:17">
      <c r="A362" t="s">
        <v>453</v>
      </c>
      <c r="B362" s="1">
        <v>45695</v>
      </c>
      <c r="C362" s="1" t="str">
        <f t="shared" si="10"/>
        <v>Feb 2025</v>
      </c>
      <c r="D362" s="1">
        <f t="shared" si="11"/>
        <v>45689</v>
      </c>
      <c r="E362" t="s">
        <v>4</v>
      </c>
      <c r="F362" t="s">
        <v>49</v>
      </c>
      <c r="G362" t="s">
        <v>50</v>
      </c>
      <c r="H362" t="s">
        <v>66</v>
      </c>
      <c r="I362" t="s">
        <v>10</v>
      </c>
      <c r="J362" t="s">
        <v>80</v>
      </c>
      <c r="K362">
        <v>3</v>
      </c>
      <c r="L362" s="2">
        <v>166.58</v>
      </c>
      <c r="M362" s="3">
        <v>0.15</v>
      </c>
      <c r="N362" s="2">
        <v>424.78</v>
      </c>
      <c r="O362" s="2">
        <v>270.08999999999997</v>
      </c>
      <c r="P362" s="2">
        <v>154.69</v>
      </c>
      <c r="Q362" t="s">
        <v>75</v>
      </c>
    </row>
    <row r="363" spans="1:17">
      <c r="A363" t="s">
        <v>454</v>
      </c>
      <c r="B363" s="1">
        <v>45705</v>
      </c>
      <c r="C363" s="1" t="str">
        <f t="shared" si="10"/>
        <v>Feb 2025</v>
      </c>
      <c r="D363" s="1">
        <f t="shared" si="11"/>
        <v>45689</v>
      </c>
      <c r="E363" t="s">
        <v>5</v>
      </c>
      <c r="F363" t="s">
        <v>73</v>
      </c>
      <c r="G363" t="s">
        <v>91</v>
      </c>
      <c r="H363" t="s">
        <v>66</v>
      </c>
      <c r="I363" t="s">
        <v>12</v>
      </c>
      <c r="J363" t="s">
        <v>112</v>
      </c>
      <c r="K363">
        <v>6</v>
      </c>
      <c r="L363" s="2">
        <v>8.3699999999999992</v>
      </c>
      <c r="M363" s="3">
        <v>0.05</v>
      </c>
      <c r="N363" s="2">
        <v>47.71</v>
      </c>
      <c r="O363" s="2">
        <v>31.55</v>
      </c>
      <c r="P363" s="2">
        <v>16.16</v>
      </c>
      <c r="Q363" t="s">
        <v>53</v>
      </c>
    </row>
    <row r="364" spans="1:17">
      <c r="A364" t="s">
        <v>455</v>
      </c>
      <c r="B364" s="1">
        <v>45716</v>
      </c>
      <c r="C364" s="1" t="str">
        <f t="shared" si="10"/>
        <v>Feb 2025</v>
      </c>
      <c r="D364" s="1">
        <f t="shared" si="11"/>
        <v>45689</v>
      </c>
      <c r="E364" t="s">
        <v>5</v>
      </c>
      <c r="F364" t="s">
        <v>79</v>
      </c>
      <c r="G364" t="s">
        <v>62</v>
      </c>
      <c r="H364" t="s">
        <v>57</v>
      </c>
      <c r="I364" t="s">
        <v>10</v>
      </c>
      <c r="J364" t="s">
        <v>80</v>
      </c>
      <c r="K364">
        <v>2</v>
      </c>
      <c r="L364" s="2">
        <v>164.85</v>
      </c>
      <c r="M364" s="3">
        <v>0.15</v>
      </c>
      <c r="N364" s="2">
        <v>280.25</v>
      </c>
      <c r="O364" s="2">
        <v>262.3</v>
      </c>
      <c r="P364" s="2">
        <v>17.95</v>
      </c>
      <c r="Q364" t="s">
        <v>53</v>
      </c>
    </row>
    <row r="365" spans="1:17">
      <c r="A365" t="s">
        <v>456</v>
      </c>
      <c r="B365" s="1">
        <v>45855</v>
      </c>
      <c r="C365" s="1" t="str">
        <f t="shared" si="10"/>
        <v>Jul 2025</v>
      </c>
      <c r="D365" s="1">
        <f t="shared" si="11"/>
        <v>45839</v>
      </c>
      <c r="E365" t="s">
        <v>6</v>
      </c>
      <c r="F365" t="s">
        <v>65</v>
      </c>
      <c r="G365" t="s">
        <v>91</v>
      </c>
      <c r="H365" t="s">
        <v>57</v>
      </c>
      <c r="I365" t="s">
        <v>12</v>
      </c>
      <c r="J365" t="s">
        <v>77</v>
      </c>
      <c r="K365">
        <v>4</v>
      </c>
      <c r="L365" s="2">
        <v>13.58</v>
      </c>
      <c r="M365" s="3">
        <v>0.15</v>
      </c>
      <c r="N365" s="2">
        <v>46.17</v>
      </c>
      <c r="O365" s="2">
        <v>41.64</v>
      </c>
      <c r="P365" s="2">
        <v>4.53</v>
      </c>
      <c r="Q365" t="s">
        <v>53</v>
      </c>
    </row>
    <row r="366" spans="1:17">
      <c r="A366" t="s">
        <v>457</v>
      </c>
      <c r="B366" s="1">
        <v>45809</v>
      </c>
      <c r="C366" s="1" t="str">
        <f t="shared" si="10"/>
        <v>Jun 2025</v>
      </c>
      <c r="D366" s="1">
        <f t="shared" si="11"/>
        <v>45809</v>
      </c>
      <c r="E366" t="s">
        <v>4</v>
      </c>
      <c r="F366" t="s">
        <v>104</v>
      </c>
      <c r="G366" t="s">
        <v>94</v>
      </c>
      <c r="H366" t="s">
        <v>66</v>
      </c>
      <c r="I366" t="s">
        <v>10</v>
      </c>
      <c r="J366" t="s">
        <v>125</v>
      </c>
      <c r="K366">
        <v>2</v>
      </c>
      <c r="L366" s="2">
        <v>293.8</v>
      </c>
      <c r="M366" s="3">
        <v>0</v>
      </c>
      <c r="N366" s="2">
        <v>587.6</v>
      </c>
      <c r="O366" s="2">
        <v>335.06</v>
      </c>
      <c r="P366" s="2">
        <v>252.54</v>
      </c>
      <c r="Q366" t="s">
        <v>53</v>
      </c>
    </row>
    <row r="367" spans="1:17">
      <c r="A367" t="s">
        <v>458</v>
      </c>
      <c r="B367" s="1">
        <v>45765</v>
      </c>
      <c r="C367" s="1" t="str">
        <f t="shared" si="10"/>
        <v>Apr 2025</v>
      </c>
      <c r="D367" s="1">
        <f t="shared" si="11"/>
        <v>45748</v>
      </c>
      <c r="E367" t="s">
        <v>7</v>
      </c>
      <c r="F367" t="s">
        <v>117</v>
      </c>
      <c r="G367" t="s">
        <v>85</v>
      </c>
      <c r="H367" t="s">
        <v>66</v>
      </c>
      <c r="I367" t="s">
        <v>10</v>
      </c>
      <c r="J367" t="s">
        <v>125</v>
      </c>
      <c r="K367">
        <v>5</v>
      </c>
      <c r="L367" s="2">
        <v>317.86</v>
      </c>
      <c r="M367" s="3">
        <v>0</v>
      </c>
      <c r="N367" s="2">
        <v>1589.3</v>
      </c>
      <c r="O367" s="2">
        <v>924.45</v>
      </c>
      <c r="P367" s="2">
        <v>664.85</v>
      </c>
      <c r="Q367" t="s">
        <v>68</v>
      </c>
    </row>
    <row r="368" spans="1:17">
      <c r="A368" t="s">
        <v>459</v>
      </c>
      <c r="B368" s="1">
        <v>45670</v>
      </c>
      <c r="C368" s="1" t="str">
        <f t="shared" si="10"/>
        <v>Jan 2025</v>
      </c>
      <c r="D368" s="1">
        <f t="shared" si="11"/>
        <v>45658</v>
      </c>
      <c r="E368" t="s">
        <v>4</v>
      </c>
      <c r="F368" t="s">
        <v>49</v>
      </c>
      <c r="G368" t="s">
        <v>56</v>
      </c>
      <c r="H368" t="s">
        <v>57</v>
      </c>
      <c r="I368" t="s">
        <v>12</v>
      </c>
      <c r="J368" t="s">
        <v>74</v>
      </c>
      <c r="K368">
        <v>1</v>
      </c>
      <c r="L368" s="2">
        <v>9.16</v>
      </c>
      <c r="M368" s="3">
        <v>0</v>
      </c>
      <c r="N368" s="2">
        <v>9.16</v>
      </c>
      <c r="O368" s="2">
        <v>6.95</v>
      </c>
      <c r="P368" s="2">
        <v>2.21</v>
      </c>
      <c r="Q368" t="s">
        <v>75</v>
      </c>
    </row>
    <row r="369" spans="1:17">
      <c r="A369" t="s">
        <v>460</v>
      </c>
      <c r="B369" s="1">
        <v>45856</v>
      </c>
      <c r="C369" s="1" t="str">
        <f t="shared" si="10"/>
        <v>Jul 2025</v>
      </c>
      <c r="D369" s="1">
        <f t="shared" si="11"/>
        <v>45839</v>
      </c>
      <c r="E369" t="s">
        <v>4</v>
      </c>
      <c r="F369" t="s">
        <v>49</v>
      </c>
      <c r="G369" t="s">
        <v>94</v>
      </c>
      <c r="H369" t="s">
        <v>66</v>
      </c>
      <c r="I369" t="s">
        <v>12</v>
      </c>
      <c r="J369" t="s">
        <v>138</v>
      </c>
      <c r="K369">
        <v>2</v>
      </c>
      <c r="L369" s="2">
        <v>25.3</v>
      </c>
      <c r="M369" s="3">
        <v>0</v>
      </c>
      <c r="N369" s="2">
        <v>50.6</v>
      </c>
      <c r="O369" s="2">
        <v>34.43</v>
      </c>
      <c r="P369" s="2">
        <v>16.170000000000002</v>
      </c>
      <c r="Q369" t="s">
        <v>53</v>
      </c>
    </row>
    <row r="370" spans="1:17">
      <c r="A370" t="s">
        <v>461</v>
      </c>
      <c r="B370" s="1">
        <v>45841</v>
      </c>
      <c r="C370" s="1" t="str">
        <f t="shared" si="10"/>
        <v>Jul 2025</v>
      </c>
      <c r="D370" s="1">
        <f t="shared" si="11"/>
        <v>45839</v>
      </c>
      <c r="E370" t="s">
        <v>7</v>
      </c>
      <c r="F370" t="s">
        <v>101</v>
      </c>
      <c r="G370" t="s">
        <v>50</v>
      </c>
      <c r="H370" t="s">
        <v>66</v>
      </c>
      <c r="I370" t="s">
        <v>10</v>
      </c>
      <c r="J370" t="s">
        <v>130</v>
      </c>
      <c r="K370">
        <v>2</v>
      </c>
      <c r="L370" s="2">
        <v>189.16</v>
      </c>
      <c r="M370" s="3">
        <v>0.15</v>
      </c>
      <c r="N370" s="2">
        <v>321.57</v>
      </c>
      <c r="O370" s="2">
        <v>206.54</v>
      </c>
      <c r="P370" s="2">
        <v>115.03</v>
      </c>
      <c r="Q370" t="s">
        <v>53</v>
      </c>
    </row>
    <row r="371" spans="1:17">
      <c r="A371" t="s">
        <v>462</v>
      </c>
      <c r="B371" s="1">
        <v>45900</v>
      </c>
      <c r="C371" s="1" t="str">
        <f t="shared" si="10"/>
        <v>Aug 2025</v>
      </c>
      <c r="D371" s="1">
        <f t="shared" si="11"/>
        <v>45870</v>
      </c>
      <c r="E371" t="s">
        <v>5</v>
      </c>
      <c r="F371" t="s">
        <v>97</v>
      </c>
      <c r="G371" t="s">
        <v>62</v>
      </c>
      <c r="H371" t="s">
        <v>51</v>
      </c>
      <c r="I371" t="s">
        <v>11</v>
      </c>
      <c r="J371" t="s">
        <v>107</v>
      </c>
      <c r="K371">
        <v>1</v>
      </c>
      <c r="L371" s="2">
        <v>58.54</v>
      </c>
      <c r="M371" s="3">
        <v>0.15</v>
      </c>
      <c r="N371" s="2">
        <v>49.76</v>
      </c>
      <c r="O371" s="2">
        <v>35.619999999999997</v>
      </c>
      <c r="P371" s="2">
        <v>14.14</v>
      </c>
      <c r="Q371" t="s">
        <v>68</v>
      </c>
    </row>
    <row r="372" spans="1:17">
      <c r="A372" t="s">
        <v>463</v>
      </c>
      <c r="B372" s="1">
        <v>45721</v>
      </c>
      <c r="C372" s="1" t="str">
        <f t="shared" si="10"/>
        <v>Mar 2025</v>
      </c>
      <c r="D372" s="1">
        <f t="shared" si="11"/>
        <v>45717</v>
      </c>
      <c r="E372" t="s">
        <v>6</v>
      </c>
      <c r="F372" t="s">
        <v>109</v>
      </c>
      <c r="G372" t="s">
        <v>62</v>
      </c>
      <c r="H372" t="s">
        <v>51</v>
      </c>
      <c r="I372" t="s">
        <v>11</v>
      </c>
      <c r="J372" t="s">
        <v>52</v>
      </c>
      <c r="K372">
        <v>3</v>
      </c>
      <c r="L372" s="2">
        <v>24.67</v>
      </c>
      <c r="M372" s="3">
        <v>0.15</v>
      </c>
      <c r="N372" s="2">
        <v>62.91</v>
      </c>
      <c r="O372" s="2">
        <v>59.51</v>
      </c>
      <c r="P372" s="2">
        <v>3.4</v>
      </c>
      <c r="Q372" t="s">
        <v>75</v>
      </c>
    </row>
    <row r="373" spans="1:17">
      <c r="A373" t="s">
        <v>464</v>
      </c>
      <c r="B373" s="1">
        <v>45988</v>
      </c>
      <c r="C373" s="1" t="str">
        <f t="shared" si="10"/>
        <v>Nov 2025</v>
      </c>
      <c r="D373" s="1">
        <f t="shared" si="11"/>
        <v>45962</v>
      </c>
      <c r="E373" t="s">
        <v>5</v>
      </c>
      <c r="F373" t="s">
        <v>73</v>
      </c>
      <c r="G373" t="s">
        <v>94</v>
      </c>
      <c r="H373" t="s">
        <v>66</v>
      </c>
      <c r="I373" t="s">
        <v>10</v>
      </c>
      <c r="J373" t="s">
        <v>125</v>
      </c>
      <c r="K373">
        <v>1</v>
      </c>
      <c r="L373" s="2">
        <v>303.54000000000002</v>
      </c>
      <c r="M373" s="3">
        <v>0.05</v>
      </c>
      <c r="N373" s="2">
        <v>288.36</v>
      </c>
      <c r="O373" s="2">
        <v>175.54</v>
      </c>
      <c r="P373" s="2">
        <v>112.82</v>
      </c>
      <c r="Q373" t="s">
        <v>75</v>
      </c>
    </row>
    <row r="374" spans="1:17">
      <c r="A374" t="s">
        <v>465</v>
      </c>
      <c r="B374" s="1">
        <v>45988</v>
      </c>
      <c r="C374" s="1" t="str">
        <f t="shared" si="10"/>
        <v>Nov 2025</v>
      </c>
      <c r="D374" s="1">
        <f t="shared" si="11"/>
        <v>45962</v>
      </c>
      <c r="E374" t="s">
        <v>4</v>
      </c>
      <c r="F374" t="s">
        <v>55</v>
      </c>
      <c r="G374" t="s">
        <v>62</v>
      </c>
      <c r="H374" t="s">
        <v>57</v>
      </c>
      <c r="I374" t="s">
        <v>10</v>
      </c>
      <c r="J374" t="s">
        <v>130</v>
      </c>
      <c r="K374">
        <v>2</v>
      </c>
      <c r="L374" s="2">
        <v>164.67</v>
      </c>
      <c r="M374" s="3">
        <v>0</v>
      </c>
      <c r="N374" s="2">
        <v>329.34</v>
      </c>
      <c r="O374" s="2">
        <v>190.76</v>
      </c>
      <c r="P374" s="2">
        <v>138.58000000000001</v>
      </c>
      <c r="Q374" t="s">
        <v>68</v>
      </c>
    </row>
    <row r="375" spans="1:17">
      <c r="A375" t="s">
        <v>466</v>
      </c>
      <c r="B375" s="1">
        <v>46001</v>
      </c>
      <c r="C375" s="1" t="str">
        <f t="shared" si="10"/>
        <v>Dec 2025</v>
      </c>
      <c r="D375" s="1">
        <f t="shared" si="11"/>
        <v>45992</v>
      </c>
      <c r="E375" t="s">
        <v>7</v>
      </c>
      <c r="F375" t="s">
        <v>101</v>
      </c>
      <c r="G375" t="s">
        <v>71</v>
      </c>
      <c r="H375" t="s">
        <v>66</v>
      </c>
      <c r="I375" t="s">
        <v>10</v>
      </c>
      <c r="J375" t="s">
        <v>125</v>
      </c>
      <c r="K375">
        <v>1</v>
      </c>
      <c r="L375" s="2">
        <v>331.61</v>
      </c>
      <c r="M375" s="3">
        <v>0</v>
      </c>
      <c r="N375" s="2">
        <v>331.61</v>
      </c>
      <c r="O375" s="2">
        <v>204.05</v>
      </c>
      <c r="P375" s="2">
        <v>127.56</v>
      </c>
      <c r="Q375" t="s">
        <v>68</v>
      </c>
    </row>
    <row r="376" spans="1:17">
      <c r="A376" t="s">
        <v>467</v>
      </c>
      <c r="B376" s="1">
        <v>45947</v>
      </c>
      <c r="C376" s="1" t="str">
        <f t="shared" si="10"/>
        <v>Oct 2025</v>
      </c>
      <c r="D376" s="1">
        <f t="shared" si="11"/>
        <v>45931</v>
      </c>
      <c r="E376" t="s">
        <v>5</v>
      </c>
      <c r="F376" t="s">
        <v>79</v>
      </c>
      <c r="G376" t="s">
        <v>50</v>
      </c>
      <c r="H376" t="s">
        <v>57</v>
      </c>
      <c r="I376" t="s">
        <v>10</v>
      </c>
      <c r="J376" t="s">
        <v>80</v>
      </c>
      <c r="K376">
        <v>5</v>
      </c>
      <c r="L376" s="2">
        <v>166.64</v>
      </c>
      <c r="M376" s="3">
        <v>0</v>
      </c>
      <c r="N376" s="2">
        <v>833.2</v>
      </c>
      <c r="O376" s="2">
        <v>434.47</v>
      </c>
      <c r="P376" s="2">
        <v>398.73</v>
      </c>
      <c r="Q376" t="s">
        <v>59</v>
      </c>
    </row>
    <row r="377" spans="1:17">
      <c r="A377" t="s">
        <v>468</v>
      </c>
      <c r="B377" s="1">
        <v>45726</v>
      </c>
      <c r="C377" s="1" t="str">
        <f t="shared" si="10"/>
        <v>Mar 2025</v>
      </c>
      <c r="D377" s="1">
        <f t="shared" si="11"/>
        <v>45717</v>
      </c>
      <c r="E377" t="s">
        <v>7</v>
      </c>
      <c r="F377" t="s">
        <v>117</v>
      </c>
      <c r="G377" t="s">
        <v>85</v>
      </c>
      <c r="H377" t="s">
        <v>51</v>
      </c>
      <c r="I377" t="s">
        <v>10</v>
      </c>
      <c r="J377" t="s">
        <v>80</v>
      </c>
      <c r="K377">
        <v>5</v>
      </c>
      <c r="L377" s="2">
        <v>150.27000000000001</v>
      </c>
      <c r="M377" s="3">
        <v>0.05</v>
      </c>
      <c r="N377" s="2">
        <v>713.78</v>
      </c>
      <c r="O377" s="2">
        <v>565.34</v>
      </c>
      <c r="P377" s="2">
        <v>148.44</v>
      </c>
      <c r="Q377" t="s">
        <v>53</v>
      </c>
    </row>
    <row r="378" spans="1:17">
      <c r="A378" t="s">
        <v>469</v>
      </c>
      <c r="B378" s="1">
        <v>45801</v>
      </c>
      <c r="C378" s="1" t="str">
        <f t="shared" si="10"/>
        <v>May 2025</v>
      </c>
      <c r="D378" s="1">
        <f t="shared" si="11"/>
        <v>45778</v>
      </c>
      <c r="E378" t="s">
        <v>8</v>
      </c>
      <c r="F378" t="s">
        <v>90</v>
      </c>
      <c r="G378" t="s">
        <v>94</v>
      </c>
      <c r="H378" t="s">
        <v>66</v>
      </c>
      <c r="I378" t="s">
        <v>11</v>
      </c>
      <c r="J378" t="s">
        <v>107</v>
      </c>
      <c r="K378">
        <v>1</v>
      </c>
      <c r="L378" s="2">
        <v>58.38</v>
      </c>
      <c r="M378" s="3">
        <v>0</v>
      </c>
      <c r="N378" s="2">
        <v>58.38</v>
      </c>
      <c r="O378" s="2">
        <v>43.1</v>
      </c>
      <c r="P378" s="2">
        <v>15.28</v>
      </c>
      <c r="Q378" t="s">
        <v>75</v>
      </c>
    </row>
    <row r="379" spans="1:17">
      <c r="A379" t="s">
        <v>470</v>
      </c>
      <c r="B379" s="1">
        <v>45960</v>
      </c>
      <c r="C379" s="1" t="str">
        <f t="shared" si="10"/>
        <v>Oct 2025</v>
      </c>
      <c r="D379" s="1">
        <f t="shared" si="11"/>
        <v>45931</v>
      </c>
      <c r="E379" t="s">
        <v>5</v>
      </c>
      <c r="F379" t="s">
        <v>97</v>
      </c>
      <c r="G379" t="s">
        <v>50</v>
      </c>
      <c r="H379" t="s">
        <v>51</v>
      </c>
      <c r="I379" t="s">
        <v>11</v>
      </c>
      <c r="J379" t="s">
        <v>52</v>
      </c>
      <c r="K379">
        <v>3</v>
      </c>
      <c r="L379" s="2">
        <v>25.49</v>
      </c>
      <c r="M379" s="3">
        <v>0.15</v>
      </c>
      <c r="N379" s="2">
        <v>65</v>
      </c>
      <c r="O379" s="2">
        <v>50.59</v>
      </c>
      <c r="P379" s="2">
        <v>14.41</v>
      </c>
      <c r="Q379" t="s">
        <v>59</v>
      </c>
    </row>
    <row r="380" spans="1:17">
      <c r="A380" t="s">
        <v>471</v>
      </c>
      <c r="B380" s="1">
        <v>45726</v>
      </c>
      <c r="C380" s="1" t="str">
        <f t="shared" si="10"/>
        <v>Mar 2025</v>
      </c>
      <c r="D380" s="1">
        <f t="shared" si="11"/>
        <v>45717</v>
      </c>
      <c r="E380" t="s">
        <v>5</v>
      </c>
      <c r="F380" t="s">
        <v>73</v>
      </c>
      <c r="G380" t="s">
        <v>83</v>
      </c>
      <c r="H380" t="s">
        <v>66</v>
      </c>
      <c r="I380" t="s">
        <v>12</v>
      </c>
      <c r="J380" t="s">
        <v>77</v>
      </c>
      <c r="K380">
        <v>3</v>
      </c>
      <c r="L380" s="2">
        <v>14.81</v>
      </c>
      <c r="M380" s="3">
        <v>0.15</v>
      </c>
      <c r="N380" s="2">
        <v>37.770000000000003</v>
      </c>
      <c r="O380" s="2">
        <v>23.24</v>
      </c>
      <c r="P380" s="2">
        <v>14.53</v>
      </c>
      <c r="Q380" t="s">
        <v>68</v>
      </c>
    </row>
    <row r="381" spans="1:17">
      <c r="A381" t="s">
        <v>472</v>
      </c>
      <c r="B381" s="1">
        <v>45886</v>
      </c>
      <c r="C381" s="1" t="str">
        <f t="shared" si="10"/>
        <v>Aug 2025</v>
      </c>
      <c r="D381" s="1">
        <f t="shared" si="11"/>
        <v>45870</v>
      </c>
      <c r="E381" t="s">
        <v>7</v>
      </c>
      <c r="F381" t="s">
        <v>101</v>
      </c>
      <c r="G381" t="s">
        <v>94</v>
      </c>
      <c r="H381" t="s">
        <v>51</v>
      </c>
      <c r="I381" t="s">
        <v>11</v>
      </c>
      <c r="J381" t="s">
        <v>58</v>
      </c>
      <c r="K381">
        <v>3</v>
      </c>
      <c r="L381" s="2">
        <v>46.1</v>
      </c>
      <c r="M381" s="3">
        <v>0</v>
      </c>
      <c r="N381" s="2">
        <v>138.30000000000001</v>
      </c>
      <c r="O381" s="2">
        <v>102.45</v>
      </c>
      <c r="P381" s="2">
        <v>35.85</v>
      </c>
      <c r="Q381" t="s">
        <v>75</v>
      </c>
    </row>
    <row r="382" spans="1:17">
      <c r="A382" t="s">
        <v>473</v>
      </c>
      <c r="B382" s="1">
        <v>45776</v>
      </c>
      <c r="C382" s="1" t="str">
        <f t="shared" si="10"/>
        <v>Apr 2025</v>
      </c>
      <c r="D382" s="1">
        <f t="shared" si="11"/>
        <v>45748</v>
      </c>
      <c r="E382" t="s">
        <v>6</v>
      </c>
      <c r="F382" t="s">
        <v>149</v>
      </c>
      <c r="G382" t="s">
        <v>91</v>
      </c>
      <c r="H382" t="s">
        <v>57</v>
      </c>
      <c r="I382" t="s">
        <v>11</v>
      </c>
      <c r="J382" t="s">
        <v>115</v>
      </c>
      <c r="K382">
        <v>2</v>
      </c>
      <c r="L382" s="2">
        <v>200.07</v>
      </c>
      <c r="M382" s="3">
        <v>0</v>
      </c>
      <c r="N382" s="2">
        <v>400.14</v>
      </c>
      <c r="O382" s="2">
        <v>270.24</v>
      </c>
      <c r="P382" s="2">
        <v>129.9</v>
      </c>
      <c r="Q382" t="s">
        <v>53</v>
      </c>
    </row>
    <row r="383" spans="1:17">
      <c r="A383" t="s">
        <v>474</v>
      </c>
      <c r="B383" s="1">
        <v>45678</v>
      </c>
      <c r="C383" s="1" t="str">
        <f t="shared" si="10"/>
        <v>Jan 2025</v>
      </c>
      <c r="D383" s="1">
        <f t="shared" si="11"/>
        <v>45658</v>
      </c>
      <c r="E383" t="s">
        <v>6</v>
      </c>
      <c r="F383" t="s">
        <v>65</v>
      </c>
      <c r="G383" t="s">
        <v>83</v>
      </c>
      <c r="H383" t="s">
        <v>57</v>
      </c>
      <c r="I383" t="s">
        <v>10</v>
      </c>
      <c r="J383" t="s">
        <v>80</v>
      </c>
      <c r="K383">
        <v>1</v>
      </c>
      <c r="L383" s="2">
        <v>166.96</v>
      </c>
      <c r="M383" s="3">
        <v>0.05</v>
      </c>
      <c r="N383" s="2">
        <v>158.61000000000001</v>
      </c>
      <c r="O383" s="2">
        <v>128.63999999999999</v>
      </c>
      <c r="P383" s="2">
        <v>29.97</v>
      </c>
      <c r="Q383" t="s">
        <v>75</v>
      </c>
    </row>
    <row r="384" spans="1:17">
      <c r="A384" t="s">
        <v>475</v>
      </c>
      <c r="B384" s="1">
        <v>45845</v>
      </c>
      <c r="C384" s="1" t="str">
        <f t="shared" si="10"/>
        <v>Jul 2025</v>
      </c>
      <c r="D384" s="1">
        <f t="shared" si="11"/>
        <v>45839</v>
      </c>
      <c r="E384" t="s">
        <v>6</v>
      </c>
      <c r="F384" t="s">
        <v>149</v>
      </c>
      <c r="G384" t="s">
        <v>91</v>
      </c>
      <c r="H384" t="s">
        <v>57</v>
      </c>
      <c r="I384" t="s">
        <v>10</v>
      </c>
      <c r="J384" t="s">
        <v>130</v>
      </c>
      <c r="K384">
        <v>3</v>
      </c>
      <c r="L384" s="2">
        <v>176.9</v>
      </c>
      <c r="M384" s="3">
        <v>0</v>
      </c>
      <c r="N384" s="2">
        <v>530.70000000000005</v>
      </c>
      <c r="O384" s="2">
        <v>358.18</v>
      </c>
      <c r="P384" s="2">
        <v>172.52</v>
      </c>
      <c r="Q384" t="s">
        <v>53</v>
      </c>
    </row>
    <row r="385" spans="1:17">
      <c r="A385" t="s">
        <v>476</v>
      </c>
      <c r="B385" s="1">
        <v>45914</v>
      </c>
      <c r="C385" s="1" t="str">
        <f t="shared" si="10"/>
        <v>Sep 2025</v>
      </c>
      <c r="D385" s="1">
        <f t="shared" si="11"/>
        <v>45901</v>
      </c>
      <c r="E385" t="s">
        <v>5</v>
      </c>
      <c r="F385" t="s">
        <v>79</v>
      </c>
      <c r="G385" t="s">
        <v>62</v>
      </c>
      <c r="H385" t="s">
        <v>66</v>
      </c>
      <c r="I385" t="s">
        <v>11</v>
      </c>
      <c r="J385" t="s">
        <v>63</v>
      </c>
      <c r="K385">
        <v>1</v>
      </c>
      <c r="L385" s="2">
        <v>73.36</v>
      </c>
      <c r="M385" s="3">
        <v>0.05</v>
      </c>
      <c r="N385" s="2">
        <v>69.69</v>
      </c>
      <c r="O385" s="2">
        <v>42.8</v>
      </c>
      <c r="P385" s="2">
        <v>26.89</v>
      </c>
      <c r="Q385" t="s">
        <v>53</v>
      </c>
    </row>
    <row r="386" spans="1:17">
      <c r="A386" t="s">
        <v>477</v>
      </c>
      <c r="B386" s="1">
        <v>45996</v>
      </c>
      <c r="C386" s="1" t="str">
        <f t="shared" ref="C386:C449" si="12">TEXT(D386,"mmm yyyy")</f>
        <v>Dec 2025</v>
      </c>
      <c r="D386" s="1">
        <f t="shared" ref="D386:D449" si="13">DATE(YEAR(B386),MONTH(B386),1)</f>
        <v>45992</v>
      </c>
      <c r="E386" t="s">
        <v>7</v>
      </c>
      <c r="F386" t="s">
        <v>61</v>
      </c>
      <c r="G386" t="s">
        <v>83</v>
      </c>
      <c r="H386" t="s">
        <v>66</v>
      </c>
      <c r="I386" t="s">
        <v>11</v>
      </c>
      <c r="J386" t="s">
        <v>63</v>
      </c>
      <c r="K386">
        <v>5</v>
      </c>
      <c r="L386" s="2">
        <v>84.68</v>
      </c>
      <c r="M386" s="3">
        <v>0.1</v>
      </c>
      <c r="N386" s="2">
        <v>381.06</v>
      </c>
      <c r="O386" s="2">
        <v>305.94</v>
      </c>
      <c r="P386" s="2">
        <v>75.12</v>
      </c>
      <c r="Q386" t="s">
        <v>75</v>
      </c>
    </row>
    <row r="387" spans="1:17">
      <c r="A387" t="s">
        <v>478</v>
      </c>
      <c r="B387" s="1">
        <v>45669</v>
      </c>
      <c r="C387" s="1" t="str">
        <f t="shared" si="12"/>
        <v>Jan 2025</v>
      </c>
      <c r="D387" s="1">
        <f t="shared" si="13"/>
        <v>45658</v>
      </c>
      <c r="E387" t="s">
        <v>8</v>
      </c>
      <c r="F387" t="s">
        <v>90</v>
      </c>
      <c r="G387" t="s">
        <v>83</v>
      </c>
      <c r="H387" t="s">
        <v>51</v>
      </c>
      <c r="I387" t="s">
        <v>11</v>
      </c>
      <c r="J387" t="s">
        <v>52</v>
      </c>
      <c r="K387">
        <v>1</v>
      </c>
      <c r="L387" s="2">
        <v>25.76</v>
      </c>
      <c r="M387" s="3">
        <v>0</v>
      </c>
      <c r="N387" s="2">
        <v>25.76</v>
      </c>
      <c r="O387" s="2">
        <v>18.260000000000002</v>
      </c>
      <c r="P387" s="2">
        <v>7.5</v>
      </c>
      <c r="Q387" t="s">
        <v>68</v>
      </c>
    </row>
    <row r="388" spans="1:17">
      <c r="A388" t="s">
        <v>479</v>
      </c>
      <c r="B388" s="1">
        <v>45790</v>
      </c>
      <c r="C388" s="1" t="str">
        <f t="shared" si="12"/>
        <v>May 2025</v>
      </c>
      <c r="D388" s="1">
        <f t="shared" si="13"/>
        <v>45778</v>
      </c>
      <c r="E388" t="s">
        <v>6</v>
      </c>
      <c r="F388" t="s">
        <v>109</v>
      </c>
      <c r="G388" t="s">
        <v>56</v>
      </c>
      <c r="H388" t="s">
        <v>57</v>
      </c>
      <c r="I388" t="s">
        <v>11</v>
      </c>
      <c r="J388" t="s">
        <v>107</v>
      </c>
      <c r="K388">
        <v>8</v>
      </c>
      <c r="L388" s="2">
        <v>56.75</v>
      </c>
      <c r="M388" s="3">
        <v>0.15</v>
      </c>
      <c r="N388" s="2">
        <v>385.9</v>
      </c>
      <c r="O388" s="2">
        <v>322.92</v>
      </c>
      <c r="P388" s="2">
        <v>62.98</v>
      </c>
      <c r="Q388" t="s">
        <v>75</v>
      </c>
    </row>
    <row r="389" spans="1:17">
      <c r="A389" t="s">
        <v>480</v>
      </c>
      <c r="B389" s="1">
        <v>45904</v>
      </c>
      <c r="C389" s="1" t="str">
        <f t="shared" si="12"/>
        <v>Sep 2025</v>
      </c>
      <c r="D389" s="1">
        <f t="shared" si="13"/>
        <v>45901</v>
      </c>
      <c r="E389" t="s">
        <v>5</v>
      </c>
      <c r="F389" t="s">
        <v>73</v>
      </c>
      <c r="G389" t="s">
        <v>71</v>
      </c>
      <c r="H389" t="s">
        <v>51</v>
      </c>
      <c r="I389" t="s">
        <v>11</v>
      </c>
      <c r="J389" t="s">
        <v>58</v>
      </c>
      <c r="K389">
        <v>5</v>
      </c>
      <c r="L389" s="2">
        <v>46.45</v>
      </c>
      <c r="M389" s="3">
        <v>0.15</v>
      </c>
      <c r="N389" s="2">
        <v>197.41</v>
      </c>
      <c r="O389" s="2">
        <v>177.94</v>
      </c>
      <c r="P389" s="2">
        <v>19.47</v>
      </c>
      <c r="Q389" t="s">
        <v>59</v>
      </c>
    </row>
    <row r="390" spans="1:17">
      <c r="A390" t="s">
        <v>481</v>
      </c>
      <c r="B390" s="1">
        <v>45890</v>
      </c>
      <c r="C390" s="1" t="str">
        <f t="shared" si="12"/>
        <v>Aug 2025</v>
      </c>
      <c r="D390" s="1">
        <f t="shared" si="13"/>
        <v>45870</v>
      </c>
      <c r="E390" t="s">
        <v>5</v>
      </c>
      <c r="F390" t="s">
        <v>73</v>
      </c>
      <c r="G390" t="s">
        <v>50</v>
      </c>
      <c r="H390" t="s">
        <v>51</v>
      </c>
      <c r="I390" t="s">
        <v>10</v>
      </c>
      <c r="J390" t="s">
        <v>102</v>
      </c>
      <c r="K390">
        <v>1</v>
      </c>
      <c r="L390" s="2">
        <v>39.33</v>
      </c>
      <c r="M390" s="3">
        <v>0</v>
      </c>
      <c r="N390" s="2">
        <v>39.33</v>
      </c>
      <c r="O390" s="2">
        <v>21.73</v>
      </c>
      <c r="P390" s="2">
        <v>17.600000000000001</v>
      </c>
      <c r="Q390" t="s">
        <v>53</v>
      </c>
    </row>
    <row r="391" spans="1:17">
      <c r="A391" t="s">
        <v>482</v>
      </c>
      <c r="B391" s="1">
        <v>45748</v>
      </c>
      <c r="C391" s="1" t="str">
        <f t="shared" si="12"/>
        <v>Apr 2025</v>
      </c>
      <c r="D391" s="1">
        <f t="shared" si="13"/>
        <v>45748</v>
      </c>
      <c r="E391" t="s">
        <v>8</v>
      </c>
      <c r="F391" t="s">
        <v>82</v>
      </c>
      <c r="G391" t="s">
        <v>91</v>
      </c>
      <c r="H391" t="s">
        <v>66</v>
      </c>
      <c r="I391" t="s">
        <v>12</v>
      </c>
      <c r="J391" t="s">
        <v>77</v>
      </c>
      <c r="K391">
        <v>3</v>
      </c>
      <c r="L391" s="2">
        <v>16.399999999999999</v>
      </c>
      <c r="M391" s="3">
        <v>0.15</v>
      </c>
      <c r="N391" s="2">
        <v>41.82</v>
      </c>
      <c r="O391" s="2">
        <v>33.01</v>
      </c>
      <c r="P391" s="2">
        <v>8.81</v>
      </c>
      <c r="Q391" t="s">
        <v>68</v>
      </c>
    </row>
    <row r="392" spans="1:17">
      <c r="A392" t="s">
        <v>483</v>
      </c>
      <c r="B392" s="1">
        <v>45966</v>
      </c>
      <c r="C392" s="1" t="str">
        <f t="shared" si="12"/>
        <v>Nov 2025</v>
      </c>
      <c r="D392" s="1">
        <f t="shared" si="13"/>
        <v>45962</v>
      </c>
      <c r="E392" t="s">
        <v>6</v>
      </c>
      <c r="F392" t="s">
        <v>109</v>
      </c>
      <c r="G392" t="s">
        <v>50</v>
      </c>
      <c r="H392" t="s">
        <v>51</v>
      </c>
      <c r="I392" t="s">
        <v>10</v>
      </c>
      <c r="J392" t="s">
        <v>130</v>
      </c>
      <c r="K392">
        <v>6</v>
      </c>
      <c r="L392" s="2">
        <v>192.68</v>
      </c>
      <c r="M392" s="3">
        <v>0.1</v>
      </c>
      <c r="N392" s="2">
        <v>1040.47</v>
      </c>
      <c r="O392" s="2">
        <v>782.22</v>
      </c>
      <c r="P392" s="2">
        <v>258.25</v>
      </c>
      <c r="Q392" t="s">
        <v>75</v>
      </c>
    </row>
    <row r="393" spans="1:17">
      <c r="A393" t="s">
        <v>484</v>
      </c>
      <c r="B393" s="1">
        <v>45853</v>
      </c>
      <c r="C393" s="1" t="str">
        <f t="shared" si="12"/>
        <v>Jul 2025</v>
      </c>
      <c r="D393" s="1">
        <f t="shared" si="13"/>
        <v>45839</v>
      </c>
      <c r="E393" t="s">
        <v>5</v>
      </c>
      <c r="F393" t="s">
        <v>97</v>
      </c>
      <c r="G393" t="s">
        <v>91</v>
      </c>
      <c r="H393" t="s">
        <v>51</v>
      </c>
      <c r="I393" t="s">
        <v>12</v>
      </c>
      <c r="J393" t="s">
        <v>77</v>
      </c>
      <c r="K393">
        <v>5</v>
      </c>
      <c r="L393" s="2">
        <v>16.5</v>
      </c>
      <c r="M393" s="3">
        <v>0.15</v>
      </c>
      <c r="N393" s="2">
        <v>70.12</v>
      </c>
      <c r="O393" s="2">
        <v>45.32</v>
      </c>
      <c r="P393" s="2">
        <v>24.8</v>
      </c>
      <c r="Q393" t="s">
        <v>53</v>
      </c>
    </row>
    <row r="394" spans="1:17">
      <c r="A394" t="s">
        <v>485</v>
      </c>
      <c r="B394" s="1">
        <v>45803</v>
      </c>
      <c r="C394" s="1" t="str">
        <f t="shared" si="12"/>
        <v>May 2025</v>
      </c>
      <c r="D394" s="1">
        <f t="shared" si="13"/>
        <v>45778</v>
      </c>
      <c r="E394" t="s">
        <v>8</v>
      </c>
      <c r="F394" t="s">
        <v>90</v>
      </c>
      <c r="G394" t="s">
        <v>94</v>
      </c>
      <c r="H394" t="s">
        <v>57</v>
      </c>
      <c r="I394" t="s">
        <v>10</v>
      </c>
      <c r="J394" t="s">
        <v>102</v>
      </c>
      <c r="K394">
        <v>2</v>
      </c>
      <c r="L394" s="2">
        <v>37.659999999999997</v>
      </c>
      <c r="M394" s="3">
        <v>0</v>
      </c>
      <c r="N394" s="2">
        <v>75.319999999999993</v>
      </c>
      <c r="O394" s="2">
        <v>52.23</v>
      </c>
      <c r="P394" s="2">
        <v>23.09</v>
      </c>
      <c r="Q394" t="s">
        <v>68</v>
      </c>
    </row>
    <row r="395" spans="1:17">
      <c r="A395" t="s">
        <v>486</v>
      </c>
      <c r="B395" s="1">
        <v>46010</v>
      </c>
      <c r="C395" s="1" t="str">
        <f t="shared" si="12"/>
        <v>Dec 2025</v>
      </c>
      <c r="D395" s="1">
        <f t="shared" si="13"/>
        <v>45992</v>
      </c>
      <c r="E395" t="s">
        <v>4</v>
      </c>
      <c r="F395" t="s">
        <v>55</v>
      </c>
      <c r="G395" t="s">
        <v>62</v>
      </c>
      <c r="H395" t="s">
        <v>66</v>
      </c>
      <c r="I395" t="s">
        <v>12</v>
      </c>
      <c r="J395" t="s">
        <v>138</v>
      </c>
      <c r="K395">
        <v>2</v>
      </c>
      <c r="L395" s="2">
        <v>26.15</v>
      </c>
      <c r="M395" s="3">
        <v>0.15</v>
      </c>
      <c r="N395" s="2">
        <v>44.45</v>
      </c>
      <c r="O395" s="2">
        <v>31.18</v>
      </c>
      <c r="P395" s="2">
        <v>13.27</v>
      </c>
      <c r="Q395" t="s">
        <v>59</v>
      </c>
    </row>
    <row r="396" spans="1:17">
      <c r="A396" t="s">
        <v>487</v>
      </c>
      <c r="B396" s="1">
        <v>46006</v>
      </c>
      <c r="C396" s="1" t="str">
        <f t="shared" si="12"/>
        <v>Dec 2025</v>
      </c>
      <c r="D396" s="1">
        <f t="shared" si="13"/>
        <v>45992</v>
      </c>
      <c r="E396" t="s">
        <v>4</v>
      </c>
      <c r="F396" t="s">
        <v>104</v>
      </c>
      <c r="G396" t="s">
        <v>91</v>
      </c>
      <c r="H396" t="s">
        <v>57</v>
      </c>
      <c r="I396" t="s">
        <v>12</v>
      </c>
      <c r="J396" t="s">
        <v>112</v>
      </c>
      <c r="K396">
        <v>2</v>
      </c>
      <c r="L396" s="2">
        <v>8.58</v>
      </c>
      <c r="M396" s="3">
        <v>0.1</v>
      </c>
      <c r="N396" s="2">
        <v>15.44</v>
      </c>
      <c r="O396" s="2">
        <v>9.84</v>
      </c>
      <c r="P396" s="2">
        <v>5.6</v>
      </c>
      <c r="Q396" t="s">
        <v>59</v>
      </c>
    </row>
    <row r="397" spans="1:17">
      <c r="A397" t="s">
        <v>488</v>
      </c>
      <c r="B397" s="1">
        <v>45953</v>
      </c>
      <c r="C397" s="1" t="str">
        <f t="shared" si="12"/>
        <v>Oct 2025</v>
      </c>
      <c r="D397" s="1">
        <f t="shared" si="13"/>
        <v>45931</v>
      </c>
      <c r="E397" t="s">
        <v>7</v>
      </c>
      <c r="F397" t="s">
        <v>117</v>
      </c>
      <c r="G397" t="s">
        <v>83</v>
      </c>
      <c r="H397" t="s">
        <v>51</v>
      </c>
      <c r="I397" t="s">
        <v>12</v>
      </c>
      <c r="J397" t="s">
        <v>138</v>
      </c>
      <c r="K397">
        <v>4</v>
      </c>
      <c r="L397" s="2">
        <v>30.47</v>
      </c>
      <c r="M397" s="3">
        <v>0</v>
      </c>
      <c r="N397" s="2">
        <v>121.88</v>
      </c>
      <c r="O397" s="2">
        <v>90.72</v>
      </c>
      <c r="P397" s="2">
        <v>31.16</v>
      </c>
      <c r="Q397" t="s">
        <v>68</v>
      </c>
    </row>
    <row r="398" spans="1:17">
      <c r="A398" t="s">
        <v>489</v>
      </c>
      <c r="B398" s="1">
        <v>45918</v>
      </c>
      <c r="C398" s="1" t="str">
        <f t="shared" si="12"/>
        <v>Sep 2025</v>
      </c>
      <c r="D398" s="1">
        <f t="shared" si="13"/>
        <v>45901</v>
      </c>
      <c r="E398" t="s">
        <v>8</v>
      </c>
      <c r="F398" t="s">
        <v>82</v>
      </c>
      <c r="G398" t="s">
        <v>83</v>
      </c>
      <c r="H398" t="s">
        <v>57</v>
      </c>
      <c r="I398" t="s">
        <v>12</v>
      </c>
      <c r="J398" t="s">
        <v>74</v>
      </c>
      <c r="K398">
        <v>5</v>
      </c>
      <c r="L398" s="2">
        <v>10.35</v>
      </c>
      <c r="M398" s="3">
        <v>0</v>
      </c>
      <c r="N398" s="2">
        <v>51.75</v>
      </c>
      <c r="O398" s="2">
        <v>29.41</v>
      </c>
      <c r="P398" s="2">
        <v>22.34</v>
      </c>
      <c r="Q398" t="s">
        <v>75</v>
      </c>
    </row>
    <row r="399" spans="1:17">
      <c r="A399" t="s">
        <v>490</v>
      </c>
      <c r="B399" s="1">
        <v>45703</v>
      </c>
      <c r="C399" s="1" t="str">
        <f t="shared" si="12"/>
        <v>Feb 2025</v>
      </c>
      <c r="D399" s="1">
        <f t="shared" si="13"/>
        <v>45689</v>
      </c>
      <c r="E399" t="s">
        <v>7</v>
      </c>
      <c r="F399" t="s">
        <v>117</v>
      </c>
      <c r="G399" t="s">
        <v>71</v>
      </c>
      <c r="H399" t="s">
        <v>66</v>
      </c>
      <c r="I399" t="s">
        <v>11</v>
      </c>
      <c r="J399" t="s">
        <v>115</v>
      </c>
      <c r="K399">
        <v>1</v>
      </c>
      <c r="L399" s="2">
        <v>201.87</v>
      </c>
      <c r="M399" s="3">
        <v>0</v>
      </c>
      <c r="N399" s="2">
        <v>201.87</v>
      </c>
      <c r="O399" s="2">
        <v>148.85</v>
      </c>
      <c r="P399" s="2">
        <v>53.02</v>
      </c>
      <c r="Q399" t="s">
        <v>53</v>
      </c>
    </row>
    <row r="400" spans="1:17">
      <c r="A400" t="s">
        <v>491</v>
      </c>
      <c r="B400" s="1">
        <v>45747</v>
      </c>
      <c r="C400" s="1" t="str">
        <f t="shared" si="12"/>
        <v>Mar 2025</v>
      </c>
      <c r="D400" s="1">
        <f t="shared" si="13"/>
        <v>45717</v>
      </c>
      <c r="E400" t="s">
        <v>8</v>
      </c>
      <c r="F400" t="s">
        <v>90</v>
      </c>
      <c r="G400" t="s">
        <v>56</v>
      </c>
      <c r="H400" t="s">
        <v>66</v>
      </c>
      <c r="I400" t="s">
        <v>10</v>
      </c>
      <c r="J400" t="s">
        <v>67</v>
      </c>
      <c r="K400">
        <v>2</v>
      </c>
      <c r="L400" s="2">
        <v>198.32</v>
      </c>
      <c r="M400" s="3">
        <v>0.15</v>
      </c>
      <c r="N400" s="2">
        <v>337.14</v>
      </c>
      <c r="O400" s="2">
        <v>240.29</v>
      </c>
      <c r="P400" s="2">
        <v>96.85</v>
      </c>
      <c r="Q400" t="s">
        <v>68</v>
      </c>
    </row>
    <row r="401" spans="1:17">
      <c r="A401" t="s">
        <v>492</v>
      </c>
      <c r="B401" s="1">
        <v>46003</v>
      </c>
      <c r="C401" s="1" t="str">
        <f t="shared" si="12"/>
        <v>Dec 2025</v>
      </c>
      <c r="D401" s="1">
        <f t="shared" si="13"/>
        <v>45992</v>
      </c>
      <c r="E401" t="s">
        <v>6</v>
      </c>
      <c r="F401" t="s">
        <v>149</v>
      </c>
      <c r="G401" t="s">
        <v>62</v>
      </c>
      <c r="H401" t="s">
        <v>66</v>
      </c>
      <c r="I401" t="s">
        <v>11</v>
      </c>
      <c r="J401" t="s">
        <v>115</v>
      </c>
      <c r="K401">
        <v>1</v>
      </c>
      <c r="L401" s="2">
        <v>198.01</v>
      </c>
      <c r="M401" s="3">
        <v>0</v>
      </c>
      <c r="N401" s="2">
        <v>198.01</v>
      </c>
      <c r="O401" s="2">
        <v>108.12</v>
      </c>
      <c r="P401" s="2">
        <v>89.89</v>
      </c>
      <c r="Q401" t="s">
        <v>75</v>
      </c>
    </row>
    <row r="402" spans="1:17">
      <c r="A402" t="s">
        <v>493</v>
      </c>
      <c r="B402" s="1">
        <v>45865</v>
      </c>
      <c r="C402" s="1" t="str">
        <f t="shared" si="12"/>
        <v>Jul 2025</v>
      </c>
      <c r="D402" s="1">
        <f t="shared" si="13"/>
        <v>45839</v>
      </c>
      <c r="E402" t="s">
        <v>4</v>
      </c>
      <c r="F402" t="s">
        <v>55</v>
      </c>
      <c r="G402" t="s">
        <v>62</v>
      </c>
      <c r="H402" t="s">
        <v>57</v>
      </c>
      <c r="I402" t="s">
        <v>10</v>
      </c>
      <c r="J402" t="s">
        <v>125</v>
      </c>
      <c r="K402">
        <v>3</v>
      </c>
      <c r="L402" s="2">
        <v>339.88</v>
      </c>
      <c r="M402" s="3">
        <v>0</v>
      </c>
      <c r="N402" s="2">
        <v>1019.64</v>
      </c>
      <c r="O402" s="2">
        <v>811.38</v>
      </c>
      <c r="P402" s="2">
        <v>208.26</v>
      </c>
      <c r="Q402" t="s">
        <v>59</v>
      </c>
    </row>
    <row r="403" spans="1:17">
      <c r="A403" t="s">
        <v>494</v>
      </c>
      <c r="B403" s="1">
        <v>45773</v>
      </c>
      <c r="C403" s="1" t="str">
        <f t="shared" si="12"/>
        <v>Apr 2025</v>
      </c>
      <c r="D403" s="1">
        <f t="shared" si="13"/>
        <v>45748</v>
      </c>
      <c r="E403" t="s">
        <v>7</v>
      </c>
      <c r="F403" t="s">
        <v>117</v>
      </c>
      <c r="G403" t="s">
        <v>85</v>
      </c>
      <c r="H403" t="s">
        <v>66</v>
      </c>
      <c r="I403" t="s">
        <v>10</v>
      </c>
      <c r="J403" t="s">
        <v>125</v>
      </c>
      <c r="K403">
        <v>2</v>
      </c>
      <c r="L403" s="2">
        <v>316.44</v>
      </c>
      <c r="M403" s="3">
        <v>0</v>
      </c>
      <c r="N403" s="2">
        <v>632.88</v>
      </c>
      <c r="O403" s="2">
        <v>378.67</v>
      </c>
      <c r="P403" s="2">
        <v>254.21</v>
      </c>
      <c r="Q403" t="s">
        <v>53</v>
      </c>
    </row>
    <row r="404" spans="1:17">
      <c r="A404" t="s">
        <v>495</v>
      </c>
      <c r="B404" s="1">
        <v>45915</v>
      </c>
      <c r="C404" s="1" t="str">
        <f t="shared" si="12"/>
        <v>Sep 2025</v>
      </c>
      <c r="D404" s="1">
        <f t="shared" si="13"/>
        <v>45901</v>
      </c>
      <c r="E404" t="s">
        <v>4</v>
      </c>
      <c r="F404" t="s">
        <v>55</v>
      </c>
      <c r="G404" t="s">
        <v>91</v>
      </c>
      <c r="H404" t="s">
        <v>57</v>
      </c>
      <c r="I404" t="s">
        <v>12</v>
      </c>
      <c r="J404" t="s">
        <v>74</v>
      </c>
      <c r="K404">
        <v>8</v>
      </c>
      <c r="L404" s="2">
        <v>10.77</v>
      </c>
      <c r="M404" s="3">
        <v>0.05</v>
      </c>
      <c r="N404" s="2">
        <v>81.849999999999994</v>
      </c>
      <c r="O404" s="2">
        <v>67.45</v>
      </c>
      <c r="P404" s="2">
        <v>14.4</v>
      </c>
      <c r="Q404" t="s">
        <v>75</v>
      </c>
    </row>
    <row r="405" spans="1:17">
      <c r="A405" t="s">
        <v>496</v>
      </c>
      <c r="B405" s="1">
        <v>45782</v>
      </c>
      <c r="C405" s="1" t="str">
        <f t="shared" si="12"/>
        <v>May 2025</v>
      </c>
      <c r="D405" s="1">
        <f t="shared" si="13"/>
        <v>45778</v>
      </c>
      <c r="E405" t="s">
        <v>6</v>
      </c>
      <c r="F405" t="s">
        <v>109</v>
      </c>
      <c r="G405" t="s">
        <v>50</v>
      </c>
      <c r="H405" t="s">
        <v>66</v>
      </c>
      <c r="I405" t="s">
        <v>12</v>
      </c>
      <c r="J405" t="s">
        <v>138</v>
      </c>
      <c r="K405">
        <v>4</v>
      </c>
      <c r="L405" s="2">
        <v>30.72</v>
      </c>
      <c r="M405" s="3">
        <v>0</v>
      </c>
      <c r="N405" s="2">
        <v>122.88</v>
      </c>
      <c r="O405" s="2">
        <v>81.66</v>
      </c>
      <c r="P405" s="2">
        <v>41.22</v>
      </c>
      <c r="Q405" t="s">
        <v>68</v>
      </c>
    </row>
    <row r="406" spans="1:17">
      <c r="A406" t="s">
        <v>497</v>
      </c>
      <c r="B406" s="1">
        <v>46004</v>
      </c>
      <c r="C406" s="1" t="str">
        <f t="shared" si="12"/>
        <v>Dec 2025</v>
      </c>
      <c r="D406" s="1">
        <f t="shared" si="13"/>
        <v>45992</v>
      </c>
      <c r="E406" t="s">
        <v>8</v>
      </c>
      <c r="F406" t="s">
        <v>90</v>
      </c>
      <c r="G406" t="s">
        <v>71</v>
      </c>
      <c r="H406" t="s">
        <v>51</v>
      </c>
      <c r="I406" t="s">
        <v>10</v>
      </c>
      <c r="J406" t="s">
        <v>125</v>
      </c>
      <c r="K406">
        <v>5</v>
      </c>
      <c r="L406" s="2">
        <v>317.02999999999997</v>
      </c>
      <c r="M406" s="3">
        <v>0.05</v>
      </c>
      <c r="N406" s="2">
        <v>1505.89</v>
      </c>
      <c r="O406" s="2">
        <v>1069.9000000000001</v>
      </c>
      <c r="P406" s="2">
        <v>435.99</v>
      </c>
      <c r="Q406" t="s">
        <v>59</v>
      </c>
    </row>
    <row r="407" spans="1:17">
      <c r="A407" t="s">
        <v>498</v>
      </c>
      <c r="B407" s="1">
        <v>45705</v>
      </c>
      <c r="C407" s="1" t="str">
        <f t="shared" si="12"/>
        <v>Feb 2025</v>
      </c>
      <c r="D407" s="1">
        <f t="shared" si="13"/>
        <v>45689</v>
      </c>
      <c r="E407" t="s">
        <v>5</v>
      </c>
      <c r="F407" t="s">
        <v>73</v>
      </c>
      <c r="G407" t="s">
        <v>71</v>
      </c>
      <c r="H407" t="s">
        <v>51</v>
      </c>
      <c r="I407" t="s">
        <v>12</v>
      </c>
      <c r="J407" t="s">
        <v>74</v>
      </c>
      <c r="K407">
        <v>1</v>
      </c>
      <c r="L407" s="2">
        <v>11.05</v>
      </c>
      <c r="M407" s="3">
        <v>0.1</v>
      </c>
      <c r="N407" s="2">
        <v>9.9499999999999993</v>
      </c>
      <c r="O407" s="2">
        <v>6.79</v>
      </c>
      <c r="P407" s="2">
        <v>3.16</v>
      </c>
      <c r="Q407" t="s">
        <v>68</v>
      </c>
    </row>
    <row r="408" spans="1:17">
      <c r="A408" t="s">
        <v>499</v>
      </c>
      <c r="B408" s="1">
        <v>45913</v>
      </c>
      <c r="C408" s="1" t="str">
        <f t="shared" si="12"/>
        <v>Sep 2025</v>
      </c>
      <c r="D408" s="1">
        <f t="shared" si="13"/>
        <v>45901</v>
      </c>
      <c r="E408" t="s">
        <v>5</v>
      </c>
      <c r="F408" t="s">
        <v>79</v>
      </c>
      <c r="G408" t="s">
        <v>62</v>
      </c>
      <c r="H408" t="s">
        <v>51</v>
      </c>
      <c r="I408" t="s">
        <v>10</v>
      </c>
      <c r="J408" t="s">
        <v>125</v>
      </c>
      <c r="K408">
        <v>1</v>
      </c>
      <c r="L408" s="2">
        <v>305.04000000000002</v>
      </c>
      <c r="M408" s="3">
        <v>0.05</v>
      </c>
      <c r="N408" s="2">
        <v>289.79000000000002</v>
      </c>
      <c r="O408" s="2">
        <v>177.54</v>
      </c>
      <c r="P408" s="2">
        <v>112.25</v>
      </c>
      <c r="Q408" t="s">
        <v>53</v>
      </c>
    </row>
    <row r="409" spans="1:17">
      <c r="A409" t="s">
        <v>500</v>
      </c>
      <c r="B409" s="1">
        <v>45719</v>
      </c>
      <c r="C409" s="1" t="str">
        <f t="shared" si="12"/>
        <v>Mar 2025</v>
      </c>
      <c r="D409" s="1">
        <f t="shared" si="13"/>
        <v>45717</v>
      </c>
      <c r="E409" t="s">
        <v>7</v>
      </c>
      <c r="F409" t="s">
        <v>101</v>
      </c>
      <c r="G409" t="s">
        <v>62</v>
      </c>
      <c r="H409" t="s">
        <v>57</v>
      </c>
      <c r="I409" t="s">
        <v>11</v>
      </c>
      <c r="J409" t="s">
        <v>63</v>
      </c>
      <c r="K409">
        <v>3</v>
      </c>
      <c r="L409" s="2">
        <v>85.45</v>
      </c>
      <c r="M409" s="3">
        <v>0.15</v>
      </c>
      <c r="N409" s="2">
        <v>217.9</v>
      </c>
      <c r="O409" s="2">
        <v>206.98</v>
      </c>
      <c r="P409" s="2">
        <v>10.92</v>
      </c>
      <c r="Q409" t="s">
        <v>59</v>
      </c>
    </row>
    <row r="410" spans="1:17">
      <c r="A410" t="s">
        <v>501</v>
      </c>
      <c r="B410" s="1">
        <v>45909</v>
      </c>
      <c r="C410" s="1" t="str">
        <f t="shared" si="12"/>
        <v>Sep 2025</v>
      </c>
      <c r="D410" s="1">
        <f t="shared" si="13"/>
        <v>45901</v>
      </c>
      <c r="E410" t="s">
        <v>4</v>
      </c>
      <c r="F410" t="s">
        <v>55</v>
      </c>
      <c r="G410" t="s">
        <v>91</v>
      </c>
      <c r="H410" t="s">
        <v>66</v>
      </c>
      <c r="I410" t="s">
        <v>11</v>
      </c>
      <c r="J410" t="s">
        <v>107</v>
      </c>
      <c r="K410">
        <v>2</v>
      </c>
      <c r="L410" s="2">
        <v>52.19</v>
      </c>
      <c r="M410" s="3">
        <v>0.15</v>
      </c>
      <c r="N410" s="2">
        <v>88.72</v>
      </c>
      <c r="O410" s="2">
        <v>58.29</v>
      </c>
      <c r="P410" s="2">
        <v>30.43</v>
      </c>
      <c r="Q410" t="s">
        <v>53</v>
      </c>
    </row>
    <row r="411" spans="1:17">
      <c r="A411" t="s">
        <v>502</v>
      </c>
      <c r="B411" s="1">
        <v>45915</v>
      </c>
      <c r="C411" s="1" t="str">
        <f t="shared" si="12"/>
        <v>Sep 2025</v>
      </c>
      <c r="D411" s="1">
        <f t="shared" si="13"/>
        <v>45901</v>
      </c>
      <c r="E411" t="s">
        <v>4</v>
      </c>
      <c r="F411" t="s">
        <v>55</v>
      </c>
      <c r="G411" t="s">
        <v>62</v>
      </c>
      <c r="H411" t="s">
        <v>66</v>
      </c>
      <c r="I411" t="s">
        <v>12</v>
      </c>
      <c r="J411" t="s">
        <v>138</v>
      </c>
      <c r="K411">
        <v>5</v>
      </c>
      <c r="L411" s="2">
        <v>29.98</v>
      </c>
      <c r="M411" s="3">
        <v>0.1</v>
      </c>
      <c r="N411" s="2">
        <v>134.91</v>
      </c>
      <c r="O411" s="2">
        <v>121.86</v>
      </c>
      <c r="P411" s="2">
        <v>13.05</v>
      </c>
      <c r="Q411" t="s">
        <v>53</v>
      </c>
    </row>
    <row r="412" spans="1:17">
      <c r="A412" t="s">
        <v>503</v>
      </c>
      <c r="B412" s="1">
        <v>45664</v>
      </c>
      <c r="C412" s="1" t="str">
        <f t="shared" si="12"/>
        <v>Jan 2025</v>
      </c>
      <c r="D412" s="1">
        <f t="shared" si="13"/>
        <v>45658</v>
      </c>
      <c r="E412" t="s">
        <v>6</v>
      </c>
      <c r="F412" t="s">
        <v>109</v>
      </c>
      <c r="G412" t="s">
        <v>71</v>
      </c>
      <c r="H412" t="s">
        <v>51</v>
      </c>
      <c r="I412" t="s">
        <v>10</v>
      </c>
      <c r="J412" t="s">
        <v>125</v>
      </c>
      <c r="K412">
        <v>2</v>
      </c>
      <c r="L412" s="2">
        <v>295.08999999999997</v>
      </c>
      <c r="M412" s="3">
        <v>0.05</v>
      </c>
      <c r="N412" s="2">
        <v>560.66999999999996</v>
      </c>
      <c r="O412" s="2">
        <v>415.39</v>
      </c>
      <c r="P412" s="2">
        <v>145.28</v>
      </c>
      <c r="Q412" t="s">
        <v>59</v>
      </c>
    </row>
    <row r="413" spans="1:17">
      <c r="A413" t="s">
        <v>504</v>
      </c>
      <c r="B413" s="1">
        <v>45899</v>
      </c>
      <c r="C413" s="1" t="str">
        <f t="shared" si="12"/>
        <v>Aug 2025</v>
      </c>
      <c r="D413" s="1">
        <f t="shared" si="13"/>
        <v>45870</v>
      </c>
      <c r="E413" t="s">
        <v>6</v>
      </c>
      <c r="F413" t="s">
        <v>149</v>
      </c>
      <c r="G413" t="s">
        <v>50</v>
      </c>
      <c r="H413" t="s">
        <v>57</v>
      </c>
      <c r="I413" t="s">
        <v>10</v>
      </c>
      <c r="J413" t="s">
        <v>80</v>
      </c>
      <c r="K413">
        <v>2</v>
      </c>
      <c r="L413" s="2">
        <v>151.46</v>
      </c>
      <c r="M413" s="3">
        <v>0</v>
      </c>
      <c r="N413" s="2">
        <v>302.92</v>
      </c>
      <c r="O413" s="2">
        <v>195.6</v>
      </c>
      <c r="P413" s="2">
        <v>107.32</v>
      </c>
      <c r="Q413" t="s">
        <v>75</v>
      </c>
    </row>
    <row r="414" spans="1:17">
      <c r="A414" t="s">
        <v>505</v>
      </c>
      <c r="B414" s="1">
        <v>45750</v>
      </c>
      <c r="C414" s="1" t="str">
        <f t="shared" si="12"/>
        <v>Apr 2025</v>
      </c>
      <c r="D414" s="1">
        <f t="shared" si="13"/>
        <v>45748</v>
      </c>
      <c r="E414" t="s">
        <v>5</v>
      </c>
      <c r="F414" t="s">
        <v>73</v>
      </c>
      <c r="G414" t="s">
        <v>50</v>
      </c>
      <c r="H414" t="s">
        <v>57</v>
      </c>
      <c r="I414" t="s">
        <v>10</v>
      </c>
      <c r="J414" t="s">
        <v>125</v>
      </c>
      <c r="K414">
        <v>8</v>
      </c>
      <c r="L414" s="2">
        <v>336.3</v>
      </c>
      <c r="M414" s="3">
        <v>0</v>
      </c>
      <c r="N414" s="2">
        <v>2690.4</v>
      </c>
      <c r="O414" s="2">
        <v>1980.79</v>
      </c>
      <c r="P414" s="2">
        <v>709.61</v>
      </c>
      <c r="Q414" t="s">
        <v>68</v>
      </c>
    </row>
    <row r="415" spans="1:17">
      <c r="A415" t="s">
        <v>506</v>
      </c>
      <c r="B415" s="1">
        <v>45732</v>
      </c>
      <c r="C415" s="1" t="str">
        <f t="shared" si="12"/>
        <v>Mar 2025</v>
      </c>
      <c r="D415" s="1">
        <f t="shared" si="13"/>
        <v>45717</v>
      </c>
      <c r="E415" t="s">
        <v>4</v>
      </c>
      <c r="F415" t="s">
        <v>104</v>
      </c>
      <c r="G415" t="s">
        <v>62</v>
      </c>
      <c r="H415" t="s">
        <v>57</v>
      </c>
      <c r="I415" t="s">
        <v>10</v>
      </c>
      <c r="J415" t="s">
        <v>125</v>
      </c>
      <c r="K415">
        <v>2</v>
      </c>
      <c r="L415" s="2">
        <v>288.69</v>
      </c>
      <c r="M415" s="3">
        <v>0.1</v>
      </c>
      <c r="N415" s="2">
        <v>519.64</v>
      </c>
      <c r="O415" s="2">
        <v>386.77</v>
      </c>
      <c r="P415" s="2">
        <v>132.87</v>
      </c>
      <c r="Q415" t="s">
        <v>59</v>
      </c>
    </row>
    <row r="416" spans="1:17">
      <c r="A416" t="s">
        <v>507</v>
      </c>
      <c r="B416" s="1">
        <v>45786</v>
      </c>
      <c r="C416" s="1" t="str">
        <f t="shared" si="12"/>
        <v>May 2025</v>
      </c>
      <c r="D416" s="1">
        <f t="shared" si="13"/>
        <v>45778</v>
      </c>
      <c r="E416" t="s">
        <v>6</v>
      </c>
      <c r="F416" t="s">
        <v>149</v>
      </c>
      <c r="G416" t="s">
        <v>85</v>
      </c>
      <c r="H416" t="s">
        <v>57</v>
      </c>
      <c r="I416" t="s">
        <v>10</v>
      </c>
      <c r="J416" t="s">
        <v>102</v>
      </c>
      <c r="K416">
        <v>1</v>
      </c>
      <c r="L416" s="2">
        <v>36.869999999999997</v>
      </c>
      <c r="M416" s="3">
        <v>0</v>
      </c>
      <c r="N416" s="2">
        <v>36.869999999999997</v>
      </c>
      <c r="O416" s="2">
        <v>19.84</v>
      </c>
      <c r="P416" s="2">
        <v>17.03</v>
      </c>
      <c r="Q416" t="s">
        <v>59</v>
      </c>
    </row>
    <row r="417" spans="1:17">
      <c r="A417" t="s">
        <v>508</v>
      </c>
      <c r="B417" s="1">
        <v>45791</v>
      </c>
      <c r="C417" s="1" t="str">
        <f t="shared" si="12"/>
        <v>May 2025</v>
      </c>
      <c r="D417" s="1">
        <f t="shared" si="13"/>
        <v>45778</v>
      </c>
      <c r="E417" t="s">
        <v>7</v>
      </c>
      <c r="F417" t="s">
        <v>61</v>
      </c>
      <c r="G417" t="s">
        <v>62</v>
      </c>
      <c r="H417" t="s">
        <v>66</v>
      </c>
      <c r="I417" t="s">
        <v>12</v>
      </c>
      <c r="J417" t="s">
        <v>74</v>
      </c>
      <c r="K417">
        <v>3</v>
      </c>
      <c r="L417" s="2">
        <v>11.05</v>
      </c>
      <c r="M417" s="3">
        <v>0.05</v>
      </c>
      <c r="N417" s="2">
        <v>31.49</v>
      </c>
      <c r="O417" s="2">
        <v>20.66</v>
      </c>
      <c r="P417" s="2">
        <v>10.83</v>
      </c>
      <c r="Q417" t="s">
        <v>68</v>
      </c>
    </row>
    <row r="418" spans="1:17">
      <c r="A418" t="s">
        <v>509</v>
      </c>
      <c r="B418" s="1">
        <v>45953</v>
      </c>
      <c r="C418" s="1" t="str">
        <f t="shared" si="12"/>
        <v>Oct 2025</v>
      </c>
      <c r="D418" s="1">
        <f t="shared" si="13"/>
        <v>45931</v>
      </c>
      <c r="E418" t="s">
        <v>4</v>
      </c>
      <c r="F418" t="s">
        <v>55</v>
      </c>
      <c r="G418" t="s">
        <v>91</v>
      </c>
      <c r="H418" t="s">
        <v>51</v>
      </c>
      <c r="I418" t="s">
        <v>10</v>
      </c>
      <c r="J418" t="s">
        <v>102</v>
      </c>
      <c r="K418">
        <v>1</v>
      </c>
      <c r="L418" s="2">
        <v>42.87</v>
      </c>
      <c r="M418" s="3">
        <v>0.05</v>
      </c>
      <c r="N418" s="2">
        <v>40.729999999999997</v>
      </c>
      <c r="O418" s="2">
        <v>26.47</v>
      </c>
      <c r="P418" s="2">
        <v>14.26</v>
      </c>
      <c r="Q418" t="s">
        <v>75</v>
      </c>
    </row>
    <row r="419" spans="1:17">
      <c r="A419" t="s">
        <v>510</v>
      </c>
      <c r="B419" s="1">
        <v>45972</v>
      </c>
      <c r="C419" s="1" t="str">
        <f t="shared" si="12"/>
        <v>Nov 2025</v>
      </c>
      <c r="D419" s="1">
        <f t="shared" si="13"/>
        <v>45962</v>
      </c>
      <c r="E419" t="s">
        <v>6</v>
      </c>
      <c r="F419" t="s">
        <v>149</v>
      </c>
      <c r="G419" t="s">
        <v>50</v>
      </c>
      <c r="H419" t="s">
        <v>51</v>
      </c>
      <c r="I419" t="s">
        <v>12</v>
      </c>
      <c r="J419" t="s">
        <v>138</v>
      </c>
      <c r="K419">
        <v>3</v>
      </c>
      <c r="L419" s="2">
        <v>26.09</v>
      </c>
      <c r="M419" s="3">
        <v>0</v>
      </c>
      <c r="N419" s="2">
        <v>78.27</v>
      </c>
      <c r="O419" s="2">
        <v>55.74</v>
      </c>
      <c r="P419" s="2">
        <v>22.53</v>
      </c>
      <c r="Q419" t="s">
        <v>53</v>
      </c>
    </row>
    <row r="420" spans="1:17">
      <c r="A420" t="s">
        <v>511</v>
      </c>
      <c r="B420" s="1">
        <v>45740</v>
      </c>
      <c r="C420" s="1" t="str">
        <f t="shared" si="12"/>
        <v>Mar 2025</v>
      </c>
      <c r="D420" s="1">
        <f t="shared" si="13"/>
        <v>45717</v>
      </c>
      <c r="E420" t="s">
        <v>7</v>
      </c>
      <c r="F420" t="s">
        <v>101</v>
      </c>
      <c r="G420" t="s">
        <v>91</v>
      </c>
      <c r="H420" t="s">
        <v>57</v>
      </c>
      <c r="I420" t="s">
        <v>12</v>
      </c>
      <c r="J420" t="s">
        <v>112</v>
      </c>
      <c r="K420">
        <v>2</v>
      </c>
      <c r="L420" s="2">
        <v>8.35</v>
      </c>
      <c r="M420" s="3">
        <v>0.05</v>
      </c>
      <c r="N420" s="2">
        <v>15.86</v>
      </c>
      <c r="O420" s="2">
        <v>11.72</v>
      </c>
      <c r="P420" s="2">
        <v>4.1399999999999997</v>
      </c>
      <c r="Q420" t="s">
        <v>75</v>
      </c>
    </row>
    <row r="421" spans="1:17">
      <c r="A421" t="s">
        <v>512</v>
      </c>
      <c r="B421" s="1">
        <v>45869</v>
      </c>
      <c r="C421" s="1" t="str">
        <f t="shared" si="12"/>
        <v>Jul 2025</v>
      </c>
      <c r="D421" s="1">
        <f t="shared" si="13"/>
        <v>45839</v>
      </c>
      <c r="E421" t="s">
        <v>8</v>
      </c>
      <c r="F421" t="s">
        <v>82</v>
      </c>
      <c r="G421" t="s">
        <v>83</v>
      </c>
      <c r="H421" t="s">
        <v>57</v>
      </c>
      <c r="I421" t="s">
        <v>11</v>
      </c>
      <c r="J421" t="s">
        <v>58</v>
      </c>
      <c r="K421">
        <v>5</v>
      </c>
      <c r="L421" s="2">
        <v>41.74</v>
      </c>
      <c r="M421" s="3">
        <v>0</v>
      </c>
      <c r="N421" s="2">
        <v>208.7</v>
      </c>
      <c r="O421" s="2">
        <v>149.97</v>
      </c>
      <c r="P421" s="2">
        <v>58.73</v>
      </c>
      <c r="Q421" t="s">
        <v>53</v>
      </c>
    </row>
    <row r="422" spans="1:17">
      <c r="A422" t="s">
        <v>513</v>
      </c>
      <c r="B422" s="1">
        <v>45706</v>
      </c>
      <c r="C422" s="1" t="str">
        <f t="shared" si="12"/>
        <v>Feb 2025</v>
      </c>
      <c r="D422" s="1">
        <f t="shared" si="13"/>
        <v>45689</v>
      </c>
      <c r="E422" t="s">
        <v>8</v>
      </c>
      <c r="F422" t="s">
        <v>82</v>
      </c>
      <c r="G422" t="s">
        <v>71</v>
      </c>
      <c r="H422" t="s">
        <v>66</v>
      </c>
      <c r="I422" t="s">
        <v>11</v>
      </c>
      <c r="J422" t="s">
        <v>63</v>
      </c>
      <c r="K422">
        <v>3</v>
      </c>
      <c r="L422" s="2">
        <v>72.459999999999994</v>
      </c>
      <c r="M422" s="3">
        <v>0.1</v>
      </c>
      <c r="N422" s="2">
        <v>195.64</v>
      </c>
      <c r="O422" s="2">
        <v>147.21</v>
      </c>
      <c r="P422" s="2">
        <v>48.43</v>
      </c>
      <c r="Q422" t="s">
        <v>68</v>
      </c>
    </row>
    <row r="423" spans="1:17">
      <c r="A423" t="s">
        <v>514</v>
      </c>
      <c r="B423" s="1">
        <v>45701</v>
      </c>
      <c r="C423" s="1" t="str">
        <f t="shared" si="12"/>
        <v>Feb 2025</v>
      </c>
      <c r="D423" s="1">
        <f t="shared" si="13"/>
        <v>45689</v>
      </c>
      <c r="E423" t="s">
        <v>5</v>
      </c>
      <c r="F423" t="s">
        <v>79</v>
      </c>
      <c r="G423" t="s">
        <v>83</v>
      </c>
      <c r="H423" t="s">
        <v>51</v>
      </c>
      <c r="I423" t="s">
        <v>10</v>
      </c>
      <c r="J423" t="s">
        <v>67</v>
      </c>
      <c r="K423">
        <v>2</v>
      </c>
      <c r="L423" s="2">
        <v>200.43</v>
      </c>
      <c r="M423" s="3">
        <v>0.05</v>
      </c>
      <c r="N423" s="2">
        <v>380.82</v>
      </c>
      <c r="O423" s="2">
        <v>261.74</v>
      </c>
      <c r="P423" s="2">
        <v>119.08</v>
      </c>
      <c r="Q423" t="s">
        <v>53</v>
      </c>
    </row>
    <row r="424" spans="1:17">
      <c r="A424" t="s">
        <v>515</v>
      </c>
      <c r="B424" s="1">
        <v>45997</v>
      </c>
      <c r="C424" s="1" t="str">
        <f t="shared" si="12"/>
        <v>Dec 2025</v>
      </c>
      <c r="D424" s="1">
        <f t="shared" si="13"/>
        <v>45992</v>
      </c>
      <c r="E424" t="s">
        <v>4</v>
      </c>
      <c r="F424" t="s">
        <v>55</v>
      </c>
      <c r="G424" t="s">
        <v>83</v>
      </c>
      <c r="H424" t="s">
        <v>66</v>
      </c>
      <c r="I424" t="s">
        <v>12</v>
      </c>
      <c r="J424" t="s">
        <v>74</v>
      </c>
      <c r="K424">
        <v>5</v>
      </c>
      <c r="L424" s="2">
        <v>10.029999999999999</v>
      </c>
      <c r="M424" s="3">
        <v>0.15</v>
      </c>
      <c r="N424" s="2">
        <v>42.63</v>
      </c>
      <c r="O424" s="2">
        <v>40.14</v>
      </c>
      <c r="P424" s="2">
        <v>2.4900000000000002</v>
      </c>
      <c r="Q424" t="s">
        <v>68</v>
      </c>
    </row>
    <row r="425" spans="1:17">
      <c r="A425" t="s">
        <v>516</v>
      </c>
      <c r="B425" s="1">
        <v>45960</v>
      </c>
      <c r="C425" s="1" t="str">
        <f t="shared" si="12"/>
        <v>Oct 2025</v>
      </c>
      <c r="D425" s="1">
        <f t="shared" si="13"/>
        <v>45931</v>
      </c>
      <c r="E425" t="s">
        <v>4</v>
      </c>
      <c r="F425" t="s">
        <v>55</v>
      </c>
      <c r="G425" t="s">
        <v>62</v>
      </c>
      <c r="H425" t="s">
        <v>57</v>
      </c>
      <c r="I425" t="s">
        <v>10</v>
      </c>
      <c r="J425" t="s">
        <v>67</v>
      </c>
      <c r="K425">
        <v>3</v>
      </c>
      <c r="L425" s="2">
        <v>218.38</v>
      </c>
      <c r="M425" s="3">
        <v>0.15</v>
      </c>
      <c r="N425" s="2">
        <v>556.87</v>
      </c>
      <c r="O425" s="2">
        <v>426.16</v>
      </c>
      <c r="P425" s="2">
        <v>130.71</v>
      </c>
      <c r="Q425" t="s">
        <v>68</v>
      </c>
    </row>
    <row r="426" spans="1:17">
      <c r="A426" t="s">
        <v>517</v>
      </c>
      <c r="B426" s="1">
        <v>45703</v>
      </c>
      <c r="C426" s="1" t="str">
        <f t="shared" si="12"/>
        <v>Feb 2025</v>
      </c>
      <c r="D426" s="1">
        <f t="shared" si="13"/>
        <v>45689</v>
      </c>
      <c r="E426" t="s">
        <v>4</v>
      </c>
      <c r="F426" t="s">
        <v>49</v>
      </c>
      <c r="G426" t="s">
        <v>62</v>
      </c>
      <c r="H426" t="s">
        <v>57</v>
      </c>
      <c r="I426" t="s">
        <v>12</v>
      </c>
      <c r="J426" t="s">
        <v>74</v>
      </c>
      <c r="K426">
        <v>2</v>
      </c>
      <c r="L426" s="2">
        <v>9.57</v>
      </c>
      <c r="M426" s="3">
        <v>0.05</v>
      </c>
      <c r="N426" s="2">
        <v>18.18</v>
      </c>
      <c r="O426" s="2">
        <v>10.01</v>
      </c>
      <c r="P426" s="2">
        <v>8.17</v>
      </c>
      <c r="Q426" t="s">
        <v>75</v>
      </c>
    </row>
    <row r="427" spans="1:17">
      <c r="A427" t="s">
        <v>518</v>
      </c>
      <c r="B427" s="1">
        <v>45931</v>
      </c>
      <c r="C427" s="1" t="str">
        <f t="shared" si="12"/>
        <v>Oct 2025</v>
      </c>
      <c r="D427" s="1">
        <f t="shared" si="13"/>
        <v>45931</v>
      </c>
      <c r="E427" t="s">
        <v>6</v>
      </c>
      <c r="F427" t="s">
        <v>65</v>
      </c>
      <c r="G427" t="s">
        <v>56</v>
      </c>
      <c r="H427" t="s">
        <v>51</v>
      </c>
      <c r="I427" t="s">
        <v>11</v>
      </c>
      <c r="J427" t="s">
        <v>63</v>
      </c>
      <c r="K427">
        <v>8</v>
      </c>
      <c r="L427" s="2">
        <v>80.400000000000006</v>
      </c>
      <c r="M427" s="3">
        <v>0</v>
      </c>
      <c r="N427" s="2">
        <v>643.20000000000005</v>
      </c>
      <c r="O427" s="2">
        <v>482.25</v>
      </c>
      <c r="P427" s="2">
        <v>160.94999999999999</v>
      </c>
      <c r="Q427" t="s">
        <v>59</v>
      </c>
    </row>
    <row r="428" spans="1:17">
      <c r="A428" t="s">
        <v>519</v>
      </c>
      <c r="B428" s="1">
        <v>45754</v>
      </c>
      <c r="C428" s="1" t="str">
        <f t="shared" si="12"/>
        <v>Apr 2025</v>
      </c>
      <c r="D428" s="1">
        <f t="shared" si="13"/>
        <v>45748</v>
      </c>
      <c r="E428" t="s">
        <v>5</v>
      </c>
      <c r="F428" t="s">
        <v>97</v>
      </c>
      <c r="G428" t="s">
        <v>85</v>
      </c>
      <c r="H428" t="s">
        <v>57</v>
      </c>
      <c r="I428" t="s">
        <v>12</v>
      </c>
      <c r="J428" t="s">
        <v>77</v>
      </c>
      <c r="K428">
        <v>2</v>
      </c>
      <c r="L428" s="2">
        <v>14.32</v>
      </c>
      <c r="M428" s="3">
        <v>0.1</v>
      </c>
      <c r="N428" s="2">
        <v>25.78</v>
      </c>
      <c r="O428" s="2">
        <v>22.01</v>
      </c>
      <c r="P428" s="2">
        <v>3.77</v>
      </c>
      <c r="Q428" t="s">
        <v>68</v>
      </c>
    </row>
    <row r="429" spans="1:17">
      <c r="A429" t="s">
        <v>520</v>
      </c>
      <c r="B429" s="1">
        <v>45922</v>
      </c>
      <c r="C429" s="1" t="str">
        <f t="shared" si="12"/>
        <v>Sep 2025</v>
      </c>
      <c r="D429" s="1">
        <f t="shared" si="13"/>
        <v>45901</v>
      </c>
      <c r="E429" t="s">
        <v>8</v>
      </c>
      <c r="F429" t="s">
        <v>82</v>
      </c>
      <c r="G429" t="s">
        <v>83</v>
      </c>
      <c r="H429" t="s">
        <v>57</v>
      </c>
      <c r="I429" t="s">
        <v>10</v>
      </c>
      <c r="J429" t="s">
        <v>80</v>
      </c>
      <c r="K429">
        <v>2</v>
      </c>
      <c r="L429" s="2">
        <v>159.52000000000001</v>
      </c>
      <c r="M429" s="3">
        <v>0.05</v>
      </c>
      <c r="N429" s="2">
        <v>303.08999999999997</v>
      </c>
      <c r="O429" s="2">
        <v>205.42</v>
      </c>
      <c r="P429" s="2">
        <v>97.67</v>
      </c>
      <c r="Q429" t="s">
        <v>53</v>
      </c>
    </row>
    <row r="430" spans="1:17">
      <c r="A430" t="s">
        <v>521</v>
      </c>
      <c r="B430" s="1">
        <v>45984</v>
      </c>
      <c r="C430" s="1" t="str">
        <f t="shared" si="12"/>
        <v>Nov 2025</v>
      </c>
      <c r="D430" s="1">
        <f t="shared" si="13"/>
        <v>45962</v>
      </c>
      <c r="E430" t="s">
        <v>8</v>
      </c>
      <c r="F430" t="s">
        <v>82</v>
      </c>
      <c r="G430" t="s">
        <v>94</v>
      </c>
      <c r="H430" t="s">
        <v>66</v>
      </c>
      <c r="I430" t="s">
        <v>12</v>
      </c>
      <c r="J430" t="s">
        <v>77</v>
      </c>
      <c r="K430">
        <v>2</v>
      </c>
      <c r="L430" s="2">
        <v>15.81</v>
      </c>
      <c r="M430" s="3">
        <v>0.1</v>
      </c>
      <c r="N430" s="2">
        <v>28.46</v>
      </c>
      <c r="O430" s="2">
        <v>18.22</v>
      </c>
      <c r="P430" s="2">
        <v>10.24</v>
      </c>
      <c r="Q430" t="s">
        <v>53</v>
      </c>
    </row>
    <row r="431" spans="1:17">
      <c r="A431" t="s">
        <v>522</v>
      </c>
      <c r="B431" s="1">
        <v>45753</v>
      </c>
      <c r="C431" s="1" t="str">
        <f t="shared" si="12"/>
        <v>Apr 2025</v>
      </c>
      <c r="D431" s="1">
        <f t="shared" si="13"/>
        <v>45748</v>
      </c>
      <c r="E431" t="s">
        <v>5</v>
      </c>
      <c r="F431" t="s">
        <v>79</v>
      </c>
      <c r="G431" t="s">
        <v>91</v>
      </c>
      <c r="H431" t="s">
        <v>51</v>
      </c>
      <c r="I431" t="s">
        <v>11</v>
      </c>
      <c r="J431" t="s">
        <v>115</v>
      </c>
      <c r="K431">
        <v>2</v>
      </c>
      <c r="L431" s="2">
        <v>232.62</v>
      </c>
      <c r="M431" s="3">
        <v>0</v>
      </c>
      <c r="N431" s="2">
        <v>465.24</v>
      </c>
      <c r="O431" s="2">
        <v>274.42</v>
      </c>
      <c r="P431" s="2">
        <v>190.82</v>
      </c>
      <c r="Q431" t="s">
        <v>59</v>
      </c>
    </row>
    <row r="432" spans="1:17">
      <c r="A432" t="s">
        <v>523</v>
      </c>
      <c r="B432" s="1">
        <v>45873</v>
      </c>
      <c r="C432" s="1" t="str">
        <f t="shared" si="12"/>
        <v>Aug 2025</v>
      </c>
      <c r="D432" s="1">
        <f t="shared" si="13"/>
        <v>45870</v>
      </c>
      <c r="E432" t="s">
        <v>5</v>
      </c>
      <c r="F432" t="s">
        <v>79</v>
      </c>
      <c r="G432" t="s">
        <v>71</v>
      </c>
      <c r="H432" t="s">
        <v>57</v>
      </c>
      <c r="I432" t="s">
        <v>12</v>
      </c>
      <c r="J432" t="s">
        <v>138</v>
      </c>
      <c r="K432">
        <v>10</v>
      </c>
      <c r="L432" s="2">
        <v>28.06</v>
      </c>
      <c r="M432" s="3">
        <v>0</v>
      </c>
      <c r="N432" s="2">
        <v>280.60000000000002</v>
      </c>
      <c r="O432" s="2">
        <v>173.71</v>
      </c>
      <c r="P432" s="2">
        <v>106.89</v>
      </c>
      <c r="Q432" t="s">
        <v>53</v>
      </c>
    </row>
    <row r="433" spans="1:17">
      <c r="A433" t="s">
        <v>524</v>
      </c>
      <c r="B433" s="1">
        <v>45936</v>
      </c>
      <c r="C433" s="1" t="str">
        <f t="shared" si="12"/>
        <v>Oct 2025</v>
      </c>
      <c r="D433" s="1">
        <f t="shared" si="13"/>
        <v>45931</v>
      </c>
      <c r="E433" t="s">
        <v>8</v>
      </c>
      <c r="F433" t="s">
        <v>90</v>
      </c>
      <c r="G433" t="s">
        <v>56</v>
      </c>
      <c r="H433" t="s">
        <v>57</v>
      </c>
      <c r="I433" t="s">
        <v>12</v>
      </c>
      <c r="J433" t="s">
        <v>112</v>
      </c>
      <c r="K433">
        <v>1</v>
      </c>
      <c r="L433" s="2">
        <v>8.68</v>
      </c>
      <c r="M433" s="3">
        <v>0.1</v>
      </c>
      <c r="N433" s="2">
        <v>7.81</v>
      </c>
      <c r="O433" s="2">
        <v>6.67</v>
      </c>
      <c r="P433" s="2">
        <v>1.1399999999999999</v>
      </c>
      <c r="Q433" t="s">
        <v>75</v>
      </c>
    </row>
    <row r="434" spans="1:17">
      <c r="A434" t="s">
        <v>525</v>
      </c>
      <c r="B434" s="1">
        <v>45784</v>
      </c>
      <c r="C434" s="1" t="str">
        <f t="shared" si="12"/>
        <v>May 2025</v>
      </c>
      <c r="D434" s="1">
        <f t="shared" si="13"/>
        <v>45778</v>
      </c>
      <c r="E434" t="s">
        <v>5</v>
      </c>
      <c r="F434" t="s">
        <v>97</v>
      </c>
      <c r="G434" t="s">
        <v>50</v>
      </c>
      <c r="H434" t="s">
        <v>66</v>
      </c>
      <c r="I434" t="s">
        <v>10</v>
      </c>
      <c r="J434" t="s">
        <v>130</v>
      </c>
      <c r="K434">
        <v>1</v>
      </c>
      <c r="L434" s="2">
        <v>191.12</v>
      </c>
      <c r="M434" s="3">
        <v>0</v>
      </c>
      <c r="N434" s="2">
        <v>191.12</v>
      </c>
      <c r="O434" s="2">
        <v>129.26</v>
      </c>
      <c r="P434" s="2">
        <v>61.86</v>
      </c>
      <c r="Q434" t="s">
        <v>59</v>
      </c>
    </row>
    <row r="435" spans="1:17">
      <c r="A435" t="s">
        <v>526</v>
      </c>
      <c r="B435" s="1">
        <v>45823</v>
      </c>
      <c r="C435" s="1" t="str">
        <f t="shared" si="12"/>
        <v>Jun 2025</v>
      </c>
      <c r="D435" s="1">
        <f t="shared" si="13"/>
        <v>45809</v>
      </c>
      <c r="E435" t="s">
        <v>6</v>
      </c>
      <c r="F435" t="s">
        <v>109</v>
      </c>
      <c r="G435" t="s">
        <v>62</v>
      </c>
      <c r="H435" t="s">
        <v>51</v>
      </c>
      <c r="I435" t="s">
        <v>11</v>
      </c>
      <c r="J435" t="s">
        <v>52</v>
      </c>
      <c r="K435">
        <v>4</v>
      </c>
      <c r="L435" s="2">
        <v>25.52</v>
      </c>
      <c r="M435" s="3">
        <v>0</v>
      </c>
      <c r="N435" s="2">
        <v>102.08</v>
      </c>
      <c r="O435" s="2">
        <v>60.84</v>
      </c>
      <c r="P435" s="2">
        <v>41.24</v>
      </c>
      <c r="Q435" t="s">
        <v>68</v>
      </c>
    </row>
    <row r="436" spans="1:17">
      <c r="A436" t="s">
        <v>527</v>
      </c>
      <c r="B436" s="1">
        <v>45715</v>
      </c>
      <c r="C436" s="1" t="str">
        <f t="shared" si="12"/>
        <v>Feb 2025</v>
      </c>
      <c r="D436" s="1">
        <f t="shared" si="13"/>
        <v>45689</v>
      </c>
      <c r="E436" t="s">
        <v>7</v>
      </c>
      <c r="F436" t="s">
        <v>61</v>
      </c>
      <c r="G436" t="s">
        <v>94</v>
      </c>
      <c r="H436" t="s">
        <v>51</v>
      </c>
      <c r="I436" t="s">
        <v>11</v>
      </c>
      <c r="J436" t="s">
        <v>63</v>
      </c>
      <c r="K436">
        <v>2</v>
      </c>
      <c r="L436" s="2">
        <v>74.95</v>
      </c>
      <c r="M436" s="3">
        <v>0.05</v>
      </c>
      <c r="N436" s="2">
        <v>142.41</v>
      </c>
      <c r="O436" s="2">
        <v>104.24</v>
      </c>
      <c r="P436" s="2">
        <v>38.17</v>
      </c>
      <c r="Q436" t="s">
        <v>75</v>
      </c>
    </row>
    <row r="437" spans="1:17">
      <c r="A437" t="s">
        <v>528</v>
      </c>
      <c r="B437" s="1">
        <v>46010</v>
      </c>
      <c r="C437" s="1" t="str">
        <f t="shared" si="12"/>
        <v>Dec 2025</v>
      </c>
      <c r="D437" s="1">
        <f t="shared" si="13"/>
        <v>45992</v>
      </c>
      <c r="E437" t="s">
        <v>4</v>
      </c>
      <c r="F437" t="s">
        <v>55</v>
      </c>
      <c r="G437" t="s">
        <v>94</v>
      </c>
      <c r="H437" t="s">
        <v>51</v>
      </c>
      <c r="I437" t="s">
        <v>10</v>
      </c>
      <c r="J437" t="s">
        <v>125</v>
      </c>
      <c r="K437">
        <v>2</v>
      </c>
      <c r="L437" s="2">
        <v>294.3</v>
      </c>
      <c r="M437" s="3">
        <v>0</v>
      </c>
      <c r="N437" s="2">
        <v>588.6</v>
      </c>
      <c r="O437" s="2">
        <v>394.35</v>
      </c>
      <c r="P437" s="2">
        <v>194.25</v>
      </c>
      <c r="Q437" t="s">
        <v>59</v>
      </c>
    </row>
    <row r="438" spans="1:17">
      <c r="A438" t="s">
        <v>529</v>
      </c>
      <c r="B438" s="1">
        <v>45988</v>
      </c>
      <c r="C438" s="1" t="str">
        <f t="shared" si="12"/>
        <v>Nov 2025</v>
      </c>
      <c r="D438" s="1">
        <f t="shared" si="13"/>
        <v>45962</v>
      </c>
      <c r="E438" t="s">
        <v>4</v>
      </c>
      <c r="F438" t="s">
        <v>104</v>
      </c>
      <c r="G438" t="s">
        <v>62</v>
      </c>
      <c r="H438" t="s">
        <v>57</v>
      </c>
      <c r="I438" t="s">
        <v>11</v>
      </c>
      <c r="J438" t="s">
        <v>107</v>
      </c>
      <c r="K438">
        <v>5</v>
      </c>
      <c r="L438" s="2">
        <v>51.02</v>
      </c>
      <c r="M438" s="3">
        <v>0</v>
      </c>
      <c r="N438" s="2">
        <v>255.1</v>
      </c>
      <c r="O438" s="2">
        <v>156.88999999999999</v>
      </c>
      <c r="P438" s="2">
        <v>98.21</v>
      </c>
      <c r="Q438" t="s">
        <v>68</v>
      </c>
    </row>
    <row r="439" spans="1:17">
      <c r="A439" t="s">
        <v>530</v>
      </c>
      <c r="B439" s="1">
        <v>45668</v>
      </c>
      <c r="C439" s="1" t="str">
        <f t="shared" si="12"/>
        <v>Jan 2025</v>
      </c>
      <c r="D439" s="1">
        <f t="shared" si="13"/>
        <v>45658</v>
      </c>
      <c r="E439" t="s">
        <v>7</v>
      </c>
      <c r="F439" t="s">
        <v>117</v>
      </c>
      <c r="G439" t="s">
        <v>71</v>
      </c>
      <c r="H439" t="s">
        <v>66</v>
      </c>
      <c r="I439" t="s">
        <v>10</v>
      </c>
      <c r="J439" t="s">
        <v>67</v>
      </c>
      <c r="K439">
        <v>2</v>
      </c>
      <c r="L439" s="2">
        <v>195.22</v>
      </c>
      <c r="M439" s="3">
        <v>0</v>
      </c>
      <c r="N439" s="2">
        <v>390.44</v>
      </c>
      <c r="O439" s="2">
        <v>259.87</v>
      </c>
      <c r="P439" s="2">
        <v>130.57</v>
      </c>
      <c r="Q439" t="s">
        <v>75</v>
      </c>
    </row>
    <row r="440" spans="1:17">
      <c r="A440" t="s">
        <v>531</v>
      </c>
      <c r="B440" s="1">
        <v>45755</v>
      </c>
      <c r="C440" s="1" t="str">
        <f t="shared" si="12"/>
        <v>Apr 2025</v>
      </c>
      <c r="D440" s="1">
        <f t="shared" si="13"/>
        <v>45748</v>
      </c>
      <c r="E440" t="s">
        <v>4</v>
      </c>
      <c r="F440" t="s">
        <v>104</v>
      </c>
      <c r="G440" t="s">
        <v>83</v>
      </c>
      <c r="H440" t="s">
        <v>51</v>
      </c>
      <c r="I440" t="s">
        <v>10</v>
      </c>
      <c r="J440" t="s">
        <v>125</v>
      </c>
      <c r="K440">
        <v>3</v>
      </c>
      <c r="L440" s="2">
        <v>310.79000000000002</v>
      </c>
      <c r="M440" s="3">
        <v>0.1</v>
      </c>
      <c r="N440" s="2">
        <v>839.13</v>
      </c>
      <c r="O440" s="2">
        <v>561.84</v>
      </c>
      <c r="P440" s="2">
        <v>277.29000000000002</v>
      </c>
      <c r="Q440" t="s">
        <v>68</v>
      </c>
    </row>
    <row r="441" spans="1:17">
      <c r="A441" t="s">
        <v>532</v>
      </c>
      <c r="B441" s="1">
        <v>45888</v>
      </c>
      <c r="C441" s="1" t="str">
        <f t="shared" si="12"/>
        <v>Aug 2025</v>
      </c>
      <c r="D441" s="1">
        <f t="shared" si="13"/>
        <v>45870</v>
      </c>
      <c r="E441" t="s">
        <v>5</v>
      </c>
      <c r="F441" t="s">
        <v>79</v>
      </c>
      <c r="G441" t="s">
        <v>62</v>
      </c>
      <c r="H441" t="s">
        <v>66</v>
      </c>
      <c r="I441" t="s">
        <v>12</v>
      </c>
      <c r="J441" t="s">
        <v>74</v>
      </c>
      <c r="K441">
        <v>3</v>
      </c>
      <c r="L441" s="2">
        <v>10</v>
      </c>
      <c r="M441" s="3">
        <v>0.15</v>
      </c>
      <c r="N441" s="2">
        <v>25.5</v>
      </c>
      <c r="O441" s="2">
        <v>19.010000000000002</v>
      </c>
      <c r="P441" s="2">
        <v>6.49</v>
      </c>
      <c r="Q441" t="s">
        <v>68</v>
      </c>
    </row>
    <row r="442" spans="1:17">
      <c r="A442" t="s">
        <v>533</v>
      </c>
      <c r="B442" s="1">
        <v>45822</v>
      </c>
      <c r="C442" s="1" t="str">
        <f t="shared" si="12"/>
        <v>Jun 2025</v>
      </c>
      <c r="D442" s="1">
        <f t="shared" si="13"/>
        <v>45809</v>
      </c>
      <c r="E442" t="s">
        <v>7</v>
      </c>
      <c r="F442" t="s">
        <v>117</v>
      </c>
      <c r="G442" t="s">
        <v>83</v>
      </c>
      <c r="H442" t="s">
        <v>66</v>
      </c>
      <c r="I442" t="s">
        <v>10</v>
      </c>
      <c r="J442" t="s">
        <v>130</v>
      </c>
      <c r="K442">
        <v>3</v>
      </c>
      <c r="L442" s="2">
        <v>183.34</v>
      </c>
      <c r="M442" s="3">
        <v>0.1</v>
      </c>
      <c r="N442" s="2">
        <v>495.02</v>
      </c>
      <c r="O442" s="2">
        <v>317.33999999999997</v>
      </c>
      <c r="P442" s="2">
        <v>177.68</v>
      </c>
      <c r="Q442" t="s">
        <v>59</v>
      </c>
    </row>
    <row r="443" spans="1:17">
      <c r="A443" t="s">
        <v>534</v>
      </c>
      <c r="B443" s="1">
        <v>45823</v>
      </c>
      <c r="C443" s="1" t="str">
        <f t="shared" si="12"/>
        <v>Jun 2025</v>
      </c>
      <c r="D443" s="1">
        <f t="shared" si="13"/>
        <v>45809</v>
      </c>
      <c r="E443" t="s">
        <v>5</v>
      </c>
      <c r="F443" t="s">
        <v>79</v>
      </c>
      <c r="G443" t="s">
        <v>94</v>
      </c>
      <c r="H443" t="s">
        <v>51</v>
      </c>
      <c r="I443" t="s">
        <v>12</v>
      </c>
      <c r="J443" t="s">
        <v>74</v>
      </c>
      <c r="K443">
        <v>1</v>
      </c>
      <c r="L443" s="2">
        <v>10.15</v>
      </c>
      <c r="M443" s="3">
        <v>0</v>
      </c>
      <c r="N443" s="2">
        <v>10.15</v>
      </c>
      <c r="O443" s="2">
        <v>5.41</v>
      </c>
      <c r="P443" s="2">
        <v>4.74</v>
      </c>
      <c r="Q443" t="s">
        <v>53</v>
      </c>
    </row>
    <row r="444" spans="1:17">
      <c r="A444" t="s">
        <v>535</v>
      </c>
      <c r="B444" s="1">
        <v>45906</v>
      </c>
      <c r="C444" s="1" t="str">
        <f t="shared" si="12"/>
        <v>Sep 2025</v>
      </c>
      <c r="D444" s="1">
        <f t="shared" si="13"/>
        <v>45901</v>
      </c>
      <c r="E444" t="s">
        <v>4</v>
      </c>
      <c r="F444" t="s">
        <v>104</v>
      </c>
      <c r="G444" t="s">
        <v>71</v>
      </c>
      <c r="H444" t="s">
        <v>51</v>
      </c>
      <c r="I444" t="s">
        <v>11</v>
      </c>
      <c r="J444" t="s">
        <v>52</v>
      </c>
      <c r="K444">
        <v>1</v>
      </c>
      <c r="L444" s="2">
        <v>26.03</v>
      </c>
      <c r="M444" s="3">
        <v>0.1</v>
      </c>
      <c r="N444" s="2">
        <v>23.43</v>
      </c>
      <c r="O444" s="2">
        <v>18.670000000000002</v>
      </c>
      <c r="P444" s="2">
        <v>4.76</v>
      </c>
      <c r="Q444" t="s">
        <v>59</v>
      </c>
    </row>
    <row r="445" spans="1:17">
      <c r="A445" t="s">
        <v>536</v>
      </c>
      <c r="B445" s="1">
        <v>45771</v>
      </c>
      <c r="C445" s="1" t="str">
        <f t="shared" si="12"/>
        <v>Apr 2025</v>
      </c>
      <c r="D445" s="1">
        <f t="shared" si="13"/>
        <v>45748</v>
      </c>
      <c r="E445" t="s">
        <v>8</v>
      </c>
      <c r="F445" t="s">
        <v>70</v>
      </c>
      <c r="G445" t="s">
        <v>94</v>
      </c>
      <c r="H445" t="s">
        <v>57</v>
      </c>
      <c r="I445" t="s">
        <v>10</v>
      </c>
      <c r="J445" t="s">
        <v>130</v>
      </c>
      <c r="K445">
        <v>1</v>
      </c>
      <c r="L445" s="2">
        <v>198.47</v>
      </c>
      <c r="M445" s="3">
        <v>0.1</v>
      </c>
      <c r="N445" s="2">
        <v>178.62</v>
      </c>
      <c r="O445" s="2">
        <v>158.47999999999999</v>
      </c>
      <c r="P445" s="2">
        <v>20.14</v>
      </c>
      <c r="Q445" t="s">
        <v>75</v>
      </c>
    </row>
    <row r="446" spans="1:17">
      <c r="A446" t="s">
        <v>537</v>
      </c>
      <c r="B446" s="1">
        <v>45846</v>
      </c>
      <c r="C446" s="1" t="str">
        <f t="shared" si="12"/>
        <v>Jul 2025</v>
      </c>
      <c r="D446" s="1">
        <f t="shared" si="13"/>
        <v>45839</v>
      </c>
      <c r="E446" t="s">
        <v>6</v>
      </c>
      <c r="F446" t="s">
        <v>109</v>
      </c>
      <c r="G446" t="s">
        <v>56</v>
      </c>
      <c r="H446" t="s">
        <v>66</v>
      </c>
      <c r="I446" t="s">
        <v>10</v>
      </c>
      <c r="J446" t="s">
        <v>130</v>
      </c>
      <c r="K446">
        <v>5</v>
      </c>
      <c r="L446" s="2">
        <v>172.53</v>
      </c>
      <c r="M446" s="3">
        <v>0</v>
      </c>
      <c r="N446" s="2">
        <v>862.65</v>
      </c>
      <c r="O446" s="2">
        <v>638.61</v>
      </c>
      <c r="P446" s="2">
        <v>224.04</v>
      </c>
      <c r="Q446" t="s">
        <v>53</v>
      </c>
    </row>
    <row r="447" spans="1:17">
      <c r="A447" t="s">
        <v>538</v>
      </c>
      <c r="B447" s="1">
        <v>45709</v>
      </c>
      <c r="C447" s="1" t="str">
        <f t="shared" si="12"/>
        <v>Feb 2025</v>
      </c>
      <c r="D447" s="1">
        <f t="shared" si="13"/>
        <v>45689</v>
      </c>
      <c r="E447" t="s">
        <v>4</v>
      </c>
      <c r="F447" t="s">
        <v>104</v>
      </c>
      <c r="G447" t="s">
        <v>83</v>
      </c>
      <c r="H447" t="s">
        <v>66</v>
      </c>
      <c r="I447" t="s">
        <v>10</v>
      </c>
      <c r="J447" t="s">
        <v>125</v>
      </c>
      <c r="K447">
        <v>3</v>
      </c>
      <c r="L447" s="2">
        <v>301.33999999999997</v>
      </c>
      <c r="M447" s="3">
        <v>0.15</v>
      </c>
      <c r="N447" s="2">
        <v>768.42</v>
      </c>
      <c r="O447" s="2">
        <v>648.24</v>
      </c>
      <c r="P447" s="2">
        <v>120.18</v>
      </c>
      <c r="Q447" t="s">
        <v>75</v>
      </c>
    </row>
    <row r="448" spans="1:17">
      <c r="A448" t="s">
        <v>539</v>
      </c>
      <c r="B448" s="1">
        <v>45712</v>
      </c>
      <c r="C448" s="1" t="str">
        <f t="shared" si="12"/>
        <v>Feb 2025</v>
      </c>
      <c r="D448" s="1">
        <f t="shared" si="13"/>
        <v>45689</v>
      </c>
      <c r="E448" t="s">
        <v>5</v>
      </c>
      <c r="F448" t="s">
        <v>79</v>
      </c>
      <c r="G448" t="s">
        <v>50</v>
      </c>
      <c r="H448" t="s">
        <v>66</v>
      </c>
      <c r="I448" t="s">
        <v>10</v>
      </c>
      <c r="J448" t="s">
        <v>102</v>
      </c>
      <c r="K448">
        <v>2</v>
      </c>
      <c r="L448" s="2">
        <v>40.04</v>
      </c>
      <c r="M448" s="3">
        <v>0.1</v>
      </c>
      <c r="N448" s="2">
        <v>72.069999999999993</v>
      </c>
      <c r="O448" s="2">
        <v>62.85</v>
      </c>
      <c r="P448" s="2">
        <v>9.2200000000000006</v>
      </c>
      <c r="Q448" t="s">
        <v>59</v>
      </c>
    </row>
    <row r="449" spans="1:17">
      <c r="A449" t="s">
        <v>540</v>
      </c>
      <c r="B449" s="1">
        <v>45994</v>
      </c>
      <c r="C449" s="1" t="str">
        <f t="shared" si="12"/>
        <v>Dec 2025</v>
      </c>
      <c r="D449" s="1">
        <f t="shared" si="13"/>
        <v>45992</v>
      </c>
      <c r="E449" t="s">
        <v>4</v>
      </c>
      <c r="F449" t="s">
        <v>55</v>
      </c>
      <c r="G449" t="s">
        <v>62</v>
      </c>
      <c r="H449" t="s">
        <v>57</v>
      </c>
      <c r="I449" t="s">
        <v>11</v>
      </c>
      <c r="J449" t="s">
        <v>107</v>
      </c>
      <c r="K449">
        <v>10</v>
      </c>
      <c r="L449" s="2">
        <v>54.86</v>
      </c>
      <c r="M449" s="3">
        <v>0.05</v>
      </c>
      <c r="N449" s="2">
        <v>521.16999999999996</v>
      </c>
      <c r="O449" s="2">
        <v>433.8</v>
      </c>
      <c r="P449" s="2">
        <v>87.37</v>
      </c>
      <c r="Q449" t="s">
        <v>75</v>
      </c>
    </row>
    <row r="450" spans="1:17">
      <c r="A450" t="s">
        <v>541</v>
      </c>
      <c r="B450" s="1">
        <v>45823</v>
      </c>
      <c r="C450" s="1" t="str">
        <f t="shared" ref="C450:C513" si="14">TEXT(D450,"mmm yyyy")</f>
        <v>Jun 2025</v>
      </c>
      <c r="D450" s="1">
        <f t="shared" ref="D450:D501" si="15">DATE(YEAR(B450),MONTH(B450),1)</f>
        <v>45809</v>
      </c>
      <c r="E450" t="s">
        <v>6</v>
      </c>
      <c r="F450" t="s">
        <v>149</v>
      </c>
      <c r="G450" t="s">
        <v>91</v>
      </c>
      <c r="H450" t="s">
        <v>57</v>
      </c>
      <c r="I450" t="s">
        <v>10</v>
      </c>
      <c r="J450" t="s">
        <v>125</v>
      </c>
      <c r="K450">
        <v>3</v>
      </c>
      <c r="L450" s="2">
        <v>303.06</v>
      </c>
      <c r="M450" s="3">
        <v>0.15</v>
      </c>
      <c r="N450" s="2">
        <v>772.8</v>
      </c>
      <c r="O450" s="2">
        <v>725.38</v>
      </c>
      <c r="P450" s="2">
        <v>47.42</v>
      </c>
      <c r="Q450" t="s">
        <v>75</v>
      </c>
    </row>
    <row r="451" spans="1:17">
      <c r="A451" t="s">
        <v>542</v>
      </c>
      <c r="B451" s="1">
        <v>45658</v>
      </c>
      <c r="C451" s="1" t="str">
        <f t="shared" si="14"/>
        <v>Jan 2025</v>
      </c>
      <c r="D451" s="1">
        <f t="shared" si="15"/>
        <v>45658</v>
      </c>
      <c r="E451" t="s">
        <v>6</v>
      </c>
      <c r="F451" t="s">
        <v>109</v>
      </c>
      <c r="G451" t="s">
        <v>71</v>
      </c>
      <c r="H451" t="s">
        <v>51</v>
      </c>
      <c r="I451" t="s">
        <v>10</v>
      </c>
      <c r="J451" t="s">
        <v>130</v>
      </c>
      <c r="K451">
        <v>10</v>
      </c>
      <c r="L451" s="2">
        <v>185.59</v>
      </c>
      <c r="M451" s="3">
        <v>0.15</v>
      </c>
      <c r="N451" s="2">
        <v>1577.52</v>
      </c>
      <c r="O451" s="2">
        <v>1040.28</v>
      </c>
      <c r="P451" s="2">
        <v>537.24</v>
      </c>
      <c r="Q451" t="s">
        <v>68</v>
      </c>
    </row>
    <row r="452" spans="1:17">
      <c r="A452" t="s">
        <v>543</v>
      </c>
      <c r="B452" s="1">
        <v>45819</v>
      </c>
      <c r="C452" s="1" t="str">
        <f t="shared" si="14"/>
        <v>Jun 2025</v>
      </c>
      <c r="D452" s="1">
        <f t="shared" si="15"/>
        <v>45809</v>
      </c>
      <c r="E452" t="s">
        <v>5</v>
      </c>
      <c r="F452" t="s">
        <v>79</v>
      </c>
      <c r="G452" t="s">
        <v>94</v>
      </c>
      <c r="H452" t="s">
        <v>57</v>
      </c>
      <c r="I452" t="s">
        <v>11</v>
      </c>
      <c r="J452" t="s">
        <v>115</v>
      </c>
      <c r="K452">
        <v>6</v>
      </c>
      <c r="L452" s="2">
        <v>222.75</v>
      </c>
      <c r="M452" s="3">
        <v>0.15</v>
      </c>
      <c r="N452" s="2">
        <v>1136.02</v>
      </c>
      <c r="O452" s="2">
        <v>1066.23</v>
      </c>
      <c r="P452" s="2">
        <v>69.790000000000006</v>
      </c>
      <c r="Q452" t="s">
        <v>59</v>
      </c>
    </row>
    <row r="453" spans="1:17">
      <c r="A453" t="s">
        <v>544</v>
      </c>
      <c r="B453" s="1">
        <v>45737</v>
      </c>
      <c r="C453" s="1" t="str">
        <f t="shared" si="14"/>
        <v>Mar 2025</v>
      </c>
      <c r="D453" s="1">
        <f t="shared" si="15"/>
        <v>45717</v>
      </c>
      <c r="E453" t="s">
        <v>6</v>
      </c>
      <c r="F453" t="s">
        <v>109</v>
      </c>
      <c r="G453" t="s">
        <v>50</v>
      </c>
      <c r="H453" t="s">
        <v>66</v>
      </c>
      <c r="I453" t="s">
        <v>11</v>
      </c>
      <c r="J453" t="s">
        <v>115</v>
      </c>
      <c r="K453">
        <v>2</v>
      </c>
      <c r="L453" s="2">
        <v>226.18</v>
      </c>
      <c r="M453" s="3">
        <v>0</v>
      </c>
      <c r="N453" s="2">
        <v>452.36</v>
      </c>
      <c r="O453" s="2">
        <v>270</v>
      </c>
      <c r="P453" s="2">
        <v>182.36</v>
      </c>
      <c r="Q453" t="s">
        <v>68</v>
      </c>
    </row>
    <row r="454" spans="1:17">
      <c r="A454" t="s">
        <v>545</v>
      </c>
      <c r="B454" s="1">
        <v>45697</v>
      </c>
      <c r="C454" s="1" t="str">
        <f t="shared" si="14"/>
        <v>Feb 2025</v>
      </c>
      <c r="D454" s="1">
        <f t="shared" si="15"/>
        <v>45689</v>
      </c>
      <c r="E454" t="s">
        <v>8</v>
      </c>
      <c r="F454" t="s">
        <v>90</v>
      </c>
      <c r="G454" t="s">
        <v>71</v>
      </c>
      <c r="H454" t="s">
        <v>51</v>
      </c>
      <c r="I454" t="s">
        <v>10</v>
      </c>
      <c r="J454" t="s">
        <v>80</v>
      </c>
      <c r="K454">
        <v>5</v>
      </c>
      <c r="L454" s="2">
        <v>140.71</v>
      </c>
      <c r="M454" s="3">
        <v>0.15</v>
      </c>
      <c r="N454" s="2">
        <v>598.02</v>
      </c>
      <c r="O454" s="2">
        <v>538.82000000000005</v>
      </c>
      <c r="P454" s="2">
        <v>59.2</v>
      </c>
      <c r="Q454" t="s">
        <v>75</v>
      </c>
    </row>
    <row r="455" spans="1:17">
      <c r="A455" t="s">
        <v>546</v>
      </c>
      <c r="B455" s="1">
        <v>45698</v>
      </c>
      <c r="C455" s="1" t="str">
        <f t="shared" si="14"/>
        <v>Feb 2025</v>
      </c>
      <c r="D455" s="1">
        <f t="shared" si="15"/>
        <v>45689</v>
      </c>
      <c r="E455" t="s">
        <v>8</v>
      </c>
      <c r="F455" t="s">
        <v>82</v>
      </c>
      <c r="G455" t="s">
        <v>94</v>
      </c>
      <c r="H455" t="s">
        <v>66</v>
      </c>
      <c r="I455" t="s">
        <v>11</v>
      </c>
      <c r="J455" t="s">
        <v>115</v>
      </c>
      <c r="K455">
        <v>2</v>
      </c>
      <c r="L455" s="2">
        <v>237.55</v>
      </c>
      <c r="M455" s="3">
        <v>0.1</v>
      </c>
      <c r="N455" s="2">
        <v>427.59</v>
      </c>
      <c r="O455" s="2">
        <v>379.64</v>
      </c>
      <c r="P455" s="2">
        <v>47.95</v>
      </c>
      <c r="Q455" t="s">
        <v>75</v>
      </c>
    </row>
    <row r="456" spans="1:17">
      <c r="A456" t="s">
        <v>547</v>
      </c>
      <c r="B456" s="1">
        <v>45685</v>
      </c>
      <c r="C456" s="1" t="str">
        <f t="shared" si="14"/>
        <v>Jan 2025</v>
      </c>
      <c r="D456" s="1">
        <f t="shared" si="15"/>
        <v>45658</v>
      </c>
      <c r="E456" t="s">
        <v>5</v>
      </c>
      <c r="F456" t="s">
        <v>79</v>
      </c>
      <c r="G456" t="s">
        <v>94</v>
      </c>
      <c r="H456" t="s">
        <v>66</v>
      </c>
      <c r="I456" t="s">
        <v>12</v>
      </c>
      <c r="J456" t="s">
        <v>77</v>
      </c>
      <c r="K456">
        <v>1</v>
      </c>
      <c r="L456" s="2">
        <v>15.28</v>
      </c>
      <c r="M456" s="3">
        <v>0</v>
      </c>
      <c r="N456" s="2">
        <v>15.28</v>
      </c>
      <c r="O456" s="2">
        <v>9.44</v>
      </c>
      <c r="P456" s="2">
        <v>5.84</v>
      </c>
      <c r="Q456" t="s">
        <v>75</v>
      </c>
    </row>
    <row r="457" spans="1:17">
      <c r="A457" t="s">
        <v>548</v>
      </c>
      <c r="B457" s="1">
        <v>45886</v>
      </c>
      <c r="C457" s="1" t="str">
        <f t="shared" si="14"/>
        <v>Aug 2025</v>
      </c>
      <c r="D457" s="1">
        <f t="shared" si="15"/>
        <v>45870</v>
      </c>
      <c r="E457" t="s">
        <v>5</v>
      </c>
      <c r="F457" t="s">
        <v>79</v>
      </c>
      <c r="G457" t="s">
        <v>62</v>
      </c>
      <c r="H457" t="s">
        <v>51</v>
      </c>
      <c r="I457" t="s">
        <v>10</v>
      </c>
      <c r="J457" t="s">
        <v>102</v>
      </c>
      <c r="K457">
        <v>3</v>
      </c>
      <c r="L457" s="2">
        <v>37.950000000000003</v>
      </c>
      <c r="M457" s="3">
        <v>0.05</v>
      </c>
      <c r="N457" s="2">
        <v>108.16</v>
      </c>
      <c r="O457" s="2">
        <v>86.06</v>
      </c>
      <c r="P457" s="2">
        <v>22.1</v>
      </c>
      <c r="Q457" t="s">
        <v>75</v>
      </c>
    </row>
    <row r="458" spans="1:17">
      <c r="A458" t="s">
        <v>549</v>
      </c>
      <c r="B458" s="1">
        <v>45950</v>
      </c>
      <c r="C458" s="1" t="str">
        <f t="shared" si="14"/>
        <v>Oct 2025</v>
      </c>
      <c r="D458" s="1">
        <f t="shared" si="15"/>
        <v>45931</v>
      </c>
      <c r="E458" t="s">
        <v>5</v>
      </c>
      <c r="F458" t="s">
        <v>79</v>
      </c>
      <c r="G458" t="s">
        <v>91</v>
      </c>
      <c r="H458" t="s">
        <v>66</v>
      </c>
      <c r="I458" t="s">
        <v>10</v>
      </c>
      <c r="J458" t="s">
        <v>130</v>
      </c>
      <c r="K458">
        <v>3</v>
      </c>
      <c r="L458" s="2">
        <v>172.4</v>
      </c>
      <c r="M458" s="3">
        <v>0.1</v>
      </c>
      <c r="N458" s="2">
        <v>465.48</v>
      </c>
      <c r="O458" s="2">
        <v>346.81</v>
      </c>
      <c r="P458" s="2">
        <v>118.67</v>
      </c>
      <c r="Q458" t="s">
        <v>68</v>
      </c>
    </row>
    <row r="459" spans="1:17">
      <c r="A459" t="s">
        <v>550</v>
      </c>
      <c r="B459" s="1">
        <v>45907</v>
      </c>
      <c r="C459" s="1" t="str">
        <f t="shared" si="14"/>
        <v>Sep 2025</v>
      </c>
      <c r="D459" s="1">
        <f t="shared" si="15"/>
        <v>45901</v>
      </c>
      <c r="E459" t="s">
        <v>8</v>
      </c>
      <c r="F459" t="s">
        <v>70</v>
      </c>
      <c r="G459" t="s">
        <v>50</v>
      </c>
      <c r="H459" t="s">
        <v>57</v>
      </c>
      <c r="I459" t="s">
        <v>12</v>
      </c>
      <c r="J459" t="s">
        <v>77</v>
      </c>
      <c r="K459">
        <v>1</v>
      </c>
      <c r="L459" s="2">
        <v>15.53</v>
      </c>
      <c r="M459" s="3">
        <v>0.15</v>
      </c>
      <c r="N459" s="2">
        <v>13.2</v>
      </c>
      <c r="O459" s="2">
        <v>9.2200000000000006</v>
      </c>
      <c r="P459" s="2">
        <v>3.98</v>
      </c>
      <c r="Q459" t="s">
        <v>53</v>
      </c>
    </row>
    <row r="460" spans="1:17">
      <c r="A460" t="s">
        <v>551</v>
      </c>
      <c r="B460" s="1">
        <v>45715</v>
      </c>
      <c r="C460" s="1" t="str">
        <f t="shared" si="14"/>
        <v>Feb 2025</v>
      </c>
      <c r="D460" s="1">
        <f t="shared" si="15"/>
        <v>45689</v>
      </c>
      <c r="E460" t="s">
        <v>8</v>
      </c>
      <c r="F460" t="s">
        <v>70</v>
      </c>
      <c r="G460" t="s">
        <v>83</v>
      </c>
      <c r="H460" t="s">
        <v>57</v>
      </c>
      <c r="I460" t="s">
        <v>10</v>
      </c>
      <c r="J460" t="s">
        <v>67</v>
      </c>
      <c r="K460">
        <v>2</v>
      </c>
      <c r="L460" s="2">
        <v>205.09</v>
      </c>
      <c r="M460" s="3">
        <v>0.05</v>
      </c>
      <c r="N460" s="2">
        <v>389.67</v>
      </c>
      <c r="O460" s="2">
        <v>255.69</v>
      </c>
      <c r="P460" s="2">
        <v>133.97999999999999</v>
      </c>
      <c r="Q460" t="s">
        <v>75</v>
      </c>
    </row>
    <row r="461" spans="1:17">
      <c r="A461" t="s">
        <v>552</v>
      </c>
      <c r="B461" s="1">
        <v>45977</v>
      </c>
      <c r="C461" s="1" t="str">
        <f t="shared" si="14"/>
        <v>Nov 2025</v>
      </c>
      <c r="D461" s="1">
        <f t="shared" si="15"/>
        <v>45962</v>
      </c>
      <c r="E461" t="s">
        <v>5</v>
      </c>
      <c r="F461" t="s">
        <v>73</v>
      </c>
      <c r="G461" t="s">
        <v>85</v>
      </c>
      <c r="H461" t="s">
        <v>51</v>
      </c>
      <c r="I461" t="s">
        <v>11</v>
      </c>
      <c r="J461" t="s">
        <v>63</v>
      </c>
      <c r="K461">
        <v>1</v>
      </c>
      <c r="L461" s="2">
        <v>86.4</v>
      </c>
      <c r="M461" s="3">
        <v>0</v>
      </c>
      <c r="N461" s="2">
        <v>86.4</v>
      </c>
      <c r="O461" s="2">
        <v>62.69</v>
      </c>
      <c r="P461" s="2">
        <v>23.71</v>
      </c>
      <c r="Q461" t="s">
        <v>53</v>
      </c>
    </row>
    <row r="462" spans="1:17">
      <c r="A462" t="s">
        <v>553</v>
      </c>
      <c r="B462" s="1">
        <v>45782</v>
      </c>
      <c r="C462" s="1" t="str">
        <f t="shared" si="14"/>
        <v>May 2025</v>
      </c>
      <c r="D462" s="1">
        <f t="shared" si="15"/>
        <v>45778</v>
      </c>
      <c r="E462" t="s">
        <v>8</v>
      </c>
      <c r="F462" t="s">
        <v>70</v>
      </c>
      <c r="G462" t="s">
        <v>91</v>
      </c>
      <c r="H462" t="s">
        <v>57</v>
      </c>
      <c r="I462" t="s">
        <v>10</v>
      </c>
      <c r="J462" t="s">
        <v>125</v>
      </c>
      <c r="K462">
        <v>5</v>
      </c>
      <c r="L462" s="2">
        <v>345.74</v>
      </c>
      <c r="M462" s="3">
        <v>0</v>
      </c>
      <c r="N462" s="2">
        <v>1728.7</v>
      </c>
      <c r="O462" s="2">
        <v>1076.95</v>
      </c>
      <c r="P462" s="2">
        <v>651.75</v>
      </c>
      <c r="Q462" t="s">
        <v>53</v>
      </c>
    </row>
    <row r="463" spans="1:17">
      <c r="A463" t="s">
        <v>554</v>
      </c>
      <c r="B463" s="1">
        <v>45827</v>
      </c>
      <c r="C463" s="1" t="str">
        <f t="shared" si="14"/>
        <v>Jun 2025</v>
      </c>
      <c r="D463" s="1">
        <f t="shared" si="15"/>
        <v>45809</v>
      </c>
      <c r="E463" t="s">
        <v>4</v>
      </c>
      <c r="F463" t="s">
        <v>104</v>
      </c>
      <c r="G463" t="s">
        <v>83</v>
      </c>
      <c r="H463" t="s">
        <v>66</v>
      </c>
      <c r="I463" t="s">
        <v>11</v>
      </c>
      <c r="J463" t="s">
        <v>107</v>
      </c>
      <c r="K463">
        <v>1</v>
      </c>
      <c r="L463" s="2">
        <v>56.11</v>
      </c>
      <c r="M463" s="3">
        <v>0.05</v>
      </c>
      <c r="N463" s="2">
        <v>53.3</v>
      </c>
      <c r="O463" s="2">
        <v>38.42</v>
      </c>
      <c r="P463" s="2">
        <v>14.88</v>
      </c>
      <c r="Q463" t="s">
        <v>53</v>
      </c>
    </row>
    <row r="464" spans="1:17">
      <c r="A464" t="s">
        <v>555</v>
      </c>
      <c r="B464" s="1">
        <v>45850</v>
      </c>
      <c r="C464" s="1" t="str">
        <f t="shared" si="14"/>
        <v>Jul 2025</v>
      </c>
      <c r="D464" s="1">
        <f t="shared" si="15"/>
        <v>45839</v>
      </c>
      <c r="E464" t="s">
        <v>4</v>
      </c>
      <c r="F464" t="s">
        <v>55</v>
      </c>
      <c r="G464" t="s">
        <v>94</v>
      </c>
      <c r="H464" t="s">
        <v>57</v>
      </c>
      <c r="I464" t="s">
        <v>10</v>
      </c>
      <c r="J464" t="s">
        <v>102</v>
      </c>
      <c r="K464">
        <v>1</v>
      </c>
      <c r="L464" s="2">
        <v>37.5</v>
      </c>
      <c r="M464" s="3">
        <v>0.05</v>
      </c>
      <c r="N464" s="2">
        <v>35.619999999999997</v>
      </c>
      <c r="O464" s="2">
        <v>21.76</v>
      </c>
      <c r="P464" s="2">
        <v>13.86</v>
      </c>
      <c r="Q464" t="s">
        <v>53</v>
      </c>
    </row>
    <row r="465" spans="1:17">
      <c r="A465" t="s">
        <v>556</v>
      </c>
      <c r="B465" s="1">
        <v>45692</v>
      </c>
      <c r="C465" s="1" t="str">
        <f t="shared" si="14"/>
        <v>Feb 2025</v>
      </c>
      <c r="D465" s="1">
        <f t="shared" si="15"/>
        <v>45689</v>
      </c>
      <c r="E465" t="s">
        <v>8</v>
      </c>
      <c r="F465" t="s">
        <v>70</v>
      </c>
      <c r="G465" t="s">
        <v>50</v>
      </c>
      <c r="H465" t="s">
        <v>51</v>
      </c>
      <c r="I465" t="s">
        <v>12</v>
      </c>
      <c r="J465" t="s">
        <v>74</v>
      </c>
      <c r="K465">
        <v>3</v>
      </c>
      <c r="L465" s="2">
        <v>11.01</v>
      </c>
      <c r="M465" s="3">
        <v>0.05</v>
      </c>
      <c r="N465" s="2">
        <v>31.38</v>
      </c>
      <c r="O465" s="2">
        <v>25.74</v>
      </c>
      <c r="P465" s="2">
        <v>5.64</v>
      </c>
      <c r="Q465" t="s">
        <v>75</v>
      </c>
    </row>
    <row r="466" spans="1:17">
      <c r="A466" t="s">
        <v>557</v>
      </c>
      <c r="B466" s="1">
        <v>45918</v>
      </c>
      <c r="C466" s="1" t="str">
        <f t="shared" si="14"/>
        <v>Sep 2025</v>
      </c>
      <c r="D466" s="1">
        <f t="shared" si="15"/>
        <v>45901</v>
      </c>
      <c r="E466" t="s">
        <v>5</v>
      </c>
      <c r="F466" t="s">
        <v>79</v>
      </c>
      <c r="G466" t="s">
        <v>91</v>
      </c>
      <c r="H466" t="s">
        <v>66</v>
      </c>
      <c r="I466" t="s">
        <v>10</v>
      </c>
      <c r="J466" t="s">
        <v>130</v>
      </c>
      <c r="K466">
        <v>6</v>
      </c>
      <c r="L466" s="2">
        <v>181.19</v>
      </c>
      <c r="M466" s="3">
        <v>0.15</v>
      </c>
      <c r="N466" s="2">
        <v>924.07</v>
      </c>
      <c r="O466" s="2">
        <v>738.68</v>
      </c>
      <c r="P466" s="2">
        <v>185.39</v>
      </c>
      <c r="Q466" t="s">
        <v>53</v>
      </c>
    </row>
    <row r="467" spans="1:17">
      <c r="A467" t="s">
        <v>558</v>
      </c>
      <c r="B467" s="1">
        <v>45678</v>
      </c>
      <c r="C467" s="1" t="str">
        <f t="shared" si="14"/>
        <v>Jan 2025</v>
      </c>
      <c r="D467" s="1">
        <f t="shared" si="15"/>
        <v>45658</v>
      </c>
      <c r="E467" t="s">
        <v>6</v>
      </c>
      <c r="F467" t="s">
        <v>149</v>
      </c>
      <c r="G467" t="s">
        <v>71</v>
      </c>
      <c r="H467" t="s">
        <v>51</v>
      </c>
      <c r="I467" t="s">
        <v>11</v>
      </c>
      <c r="J467" t="s">
        <v>107</v>
      </c>
      <c r="K467">
        <v>2</v>
      </c>
      <c r="L467" s="2">
        <v>55.43</v>
      </c>
      <c r="M467" s="3">
        <v>0</v>
      </c>
      <c r="N467" s="2">
        <v>110.86</v>
      </c>
      <c r="O467" s="2">
        <v>58.26</v>
      </c>
      <c r="P467" s="2">
        <v>52.6</v>
      </c>
      <c r="Q467" t="s">
        <v>59</v>
      </c>
    </row>
    <row r="468" spans="1:17">
      <c r="A468" t="s">
        <v>559</v>
      </c>
      <c r="B468" s="1">
        <v>45689</v>
      </c>
      <c r="C468" s="1" t="str">
        <f t="shared" si="14"/>
        <v>Feb 2025</v>
      </c>
      <c r="D468" s="1">
        <f t="shared" si="15"/>
        <v>45689</v>
      </c>
      <c r="E468" t="s">
        <v>6</v>
      </c>
      <c r="F468" t="s">
        <v>109</v>
      </c>
      <c r="G468" t="s">
        <v>83</v>
      </c>
      <c r="H468" t="s">
        <v>57</v>
      </c>
      <c r="I468" t="s">
        <v>10</v>
      </c>
      <c r="J468" t="s">
        <v>80</v>
      </c>
      <c r="K468">
        <v>5</v>
      </c>
      <c r="L468" s="2">
        <v>164.38</v>
      </c>
      <c r="M468" s="3">
        <v>0</v>
      </c>
      <c r="N468" s="2">
        <v>821.9</v>
      </c>
      <c r="O468" s="2">
        <v>660.18</v>
      </c>
      <c r="P468" s="2">
        <v>161.72</v>
      </c>
      <c r="Q468" t="s">
        <v>75</v>
      </c>
    </row>
    <row r="469" spans="1:17">
      <c r="A469" t="s">
        <v>560</v>
      </c>
      <c r="B469" s="1">
        <v>45994</v>
      </c>
      <c r="C469" s="1" t="str">
        <f t="shared" si="14"/>
        <v>Dec 2025</v>
      </c>
      <c r="D469" s="1">
        <f t="shared" si="15"/>
        <v>45992</v>
      </c>
      <c r="E469" t="s">
        <v>5</v>
      </c>
      <c r="F469" t="s">
        <v>97</v>
      </c>
      <c r="G469" t="s">
        <v>56</v>
      </c>
      <c r="H469" t="s">
        <v>66</v>
      </c>
      <c r="I469" t="s">
        <v>11</v>
      </c>
      <c r="J469" t="s">
        <v>52</v>
      </c>
      <c r="K469">
        <v>4</v>
      </c>
      <c r="L469" s="2">
        <v>25.36</v>
      </c>
      <c r="M469" s="3">
        <v>0.15</v>
      </c>
      <c r="N469" s="2">
        <v>86.22</v>
      </c>
      <c r="O469" s="2">
        <v>79.31</v>
      </c>
      <c r="P469" s="2">
        <v>6.91</v>
      </c>
      <c r="Q469" t="s">
        <v>68</v>
      </c>
    </row>
    <row r="470" spans="1:17">
      <c r="A470" t="s">
        <v>561</v>
      </c>
      <c r="B470" s="1">
        <v>45876</v>
      </c>
      <c r="C470" s="1" t="str">
        <f t="shared" si="14"/>
        <v>Aug 2025</v>
      </c>
      <c r="D470" s="1">
        <f t="shared" si="15"/>
        <v>45870</v>
      </c>
      <c r="E470" t="s">
        <v>4</v>
      </c>
      <c r="F470" t="s">
        <v>104</v>
      </c>
      <c r="G470" t="s">
        <v>56</v>
      </c>
      <c r="H470" t="s">
        <v>51</v>
      </c>
      <c r="I470" t="s">
        <v>12</v>
      </c>
      <c r="J470" t="s">
        <v>77</v>
      </c>
      <c r="K470">
        <v>2</v>
      </c>
      <c r="L470" s="2">
        <v>15.29</v>
      </c>
      <c r="M470" s="3">
        <v>0</v>
      </c>
      <c r="N470" s="2">
        <v>30.58</v>
      </c>
      <c r="O470" s="2">
        <v>21.89</v>
      </c>
      <c r="P470" s="2">
        <v>8.69</v>
      </c>
      <c r="Q470" t="s">
        <v>59</v>
      </c>
    </row>
    <row r="471" spans="1:17">
      <c r="A471" t="s">
        <v>562</v>
      </c>
      <c r="B471" s="1">
        <v>46010</v>
      </c>
      <c r="C471" s="1" t="str">
        <f t="shared" si="14"/>
        <v>Dec 2025</v>
      </c>
      <c r="D471" s="1">
        <f t="shared" si="15"/>
        <v>45992</v>
      </c>
      <c r="E471" t="s">
        <v>4</v>
      </c>
      <c r="F471" t="s">
        <v>49</v>
      </c>
      <c r="G471" t="s">
        <v>62</v>
      </c>
      <c r="H471" t="s">
        <v>51</v>
      </c>
      <c r="I471" t="s">
        <v>10</v>
      </c>
      <c r="J471" t="s">
        <v>102</v>
      </c>
      <c r="K471">
        <v>6</v>
      </c>
      <c r="L471" s="2">
        <v>39.78</v>
      </c>
      <c r="M471" s="3">
        <v>0</v>
      </c>
      <c r="N471" s="2">
        <v>238.68</v>
      </c>
      <c r="O471" s="2">
        <v>171.1</v>
      </c>
      <c r="P471" s="2">
        <v>67.58</v>
      </c>
      <c r="Q471" t="s">
        <v>53</v>
      </c>
    </row>
    <row r="472" spans="1:17">
      <c r="A472" t="s">
        <v>563</v>
      </c>
      <c r="B472" s="1">
        <v>45752</v>
      </c>
      <c r="C472" s="1" t="str">
        <f t="shared" si="14"/>
        <v>Apr 2025</v>
      </c>
      <c r="D472" s="1">
        <f t="shared" si="15"/>
        <v>45748</v>
      </c>
      <c r="E472" t="s">
        <v>6</v>
      </c>
      <c r="F472" t="s">
        <v>149</v>
      </c>
      <c r="G472" t="s">
        <v>71</v>
      </c>
      <c r="H472" t="s">
        <v>51</v>
      </c>
      <c r="I472" t="s">
        <v>12</v>
      </c>
      <c r="J472" t="s">
        <v>112</v>
      </c>
      <c r="K472">
        <v>4</v>
      </c>
      <c r="L472" s="2">
        <v>8.5500000000000007</v>
      </c>
      <c r="M472" s="3">
        <v>0.1</v>
      </c>
      <c r="N472" s="2">
        <v>30.78</v>
      </c>
      <c r="O472" s="2">
        <v>27.65</v>
      </c>
      <c r="P472" s="2">
        <v>3.13</v>
      </c>
      <c r="Q472" t="s">
        <v>68</v>
      </c>
    </row>
    <row r="473" spans="1:17">
      <c r="A473" t="s">
        <v>564</v>
      </c>
      <c r="B473" s="1">
        <v>45712</v>
      </c>
      <c r="C473" s="1" t="str">
        <f t="shared" si="14"/>
        <v>Feb 2025</v>
      </c>
      <c r="D473" s="1">
        <f t="shared" si="15"/>
        <v>45689</v>
      </c>
      <c r="E473" t="s">
        <v>4</v>
      </c>
      <c r="F473" t="s">
        <v>104</v>
      </c>
      <c r="G473" t="s">
        <v>56</v>
      </c>
      <c r="H473" t="s">
        <v>66</v>
      </c>
      <c r="I473" t="s">
        <v>11</v>
      </c>
      <c r="J473" t="s">
        <v>58</v>
      </c>
      <c r="K473">
        <v>1</v>
      </c>
      <c r="L473" s="2">
        <v>50.26</v>
      </c>
      <c r="M473" s="3">
        <v>0.15</v>
      </c>
      <c r="N473" s="2">
        <v>42.72</v>
      </c>
      <c r="O473" s="2">
        <v>30.16</v>
      </c>
      <c r="P473" s="2">
        <v>12.56</v>
      </c>
      <c r="Q473" t="s">
        <v>68</v>
      </c>
    </row>
    <row r="474" spans="1:17">
      <c r="A474" t="s">
        <v>565</v>
      </c>
      <c r="B474" s="1">
        <v>45776</v>
      </c>
      <c r="C474" s="1" t="str">
        <f t="shared" si="14"/>
        <v>Apr 2025</v>
      </c>
      <c r="D474" s="1">
        <f t="shared" si="15"/>
        <v>45748</v>
      </c>
      <c r="E474" t="s">
        <v>4</v>
      </c>
      <c r="F474" t="s">
        <v>55</v>
      </c>
      <c r="G474" t="s">
        <v>62</v>
      </c>
      <c r="H474" t="s">
        <v>51</v>
      </c>
      <c r="I474" t="s">
        <v>10</v>
      </c>
      <c r="J474" t="s">
        <v>130</v>
      </c>
      <c r="K474">
        <v>2</v>
      </c>
      <c r="L474" s="2">
        <v>189.25</v>
      </c>
      <c r="M474" s="3">
        <v>0.1</v>
      </c>
      <c r="N474" s="2">
        <v>340.65</v>
      </c>
      <c r="O474" s="2">
        <v>212.05</v>
      </c>
      <c r="P474" s="2">
        <v>128.6</v>
      </c>
      <c r="Q474" t="s">
        <v>75</v>
      </c>
    </row>
    <row r="475" spans="1:17">
      <c r="A475" t="s">
        <v>566</v>
      </c>
      <c r="B475" s="1">
        <v>45909</v>
      </c>
      <c r="C475" s="1" t="str">
        <f t="shared" si="14"/>
        <v>Sep 2025</v>
      </c>
      <c r="D475" s="1">
        <f t="shared" si="15"/>
        <v>45901</v>
      </c>
      <c r="E475" t="s">
        <v>8</v>
      </c>
      <c r="F475" t="s">
        <v>70</v>
      </c>
      <c r="G475" t="s">
        <v>50</v>
      </c>
      <c r="H475" t="s">
        <v>51</v>
      </c>
      <c r="I475" t="s">
        <v>12</v>
      </c>
      <c r="J475" t="s">
        <v>112</v>
      </c>
      <c r="K475">
        <v>1</v>
      </c>
      <c r="L475" s="2">
        <v>7.6</v>
      </c>
      <c r="M475" s="3">
        <v>0.1</v>
      </c>
      <c r="N475" s="2">
        <v>6.84</v>
      </c>
      <c r="O475" s="2">
        <v>5.7</v>
      </c>
      <c r="P475" s="2">
        <v>1.1399999999999999</v>
      </c>
      <c r="Q475" t="s">
        <v>68</v>
      </c>
    </row>
    <row r="476" spans="1:17">
      <c r="A476" t="s">
        <v>567</v>
      </c>
      <c r="B476" s="1">
        <v>45762</v>
      </c>
      <c r="C476" s="1" t="str">
        <f t="shared" si="14"/>
        <v>Apr 2025</v>
      </c>
      <c r="D476" s="1">
        <f t="shared" si="15"/>
        <v>45748</v>
      </c>
      <c r="E476" t="s">
        <v>6</v>
      </c>
      <c r="F476" t="s">
        <v>149</v>
      </c>
      <c r="G476" t="s">
        <v>56</v>
      </c>
      <c r="H476" t="s">
        <v>57</v>
      </c>
      <c r="I476" t="s">
        <v>11</v>
      </c>
      <c r="J476" t="s">
        <v>58</v>
      </c>
      <c r="K476">
        <v>6</v>
      </c>
      <c r="L476" s="2">
        <v>50.26</v>
      </c>
      <c r="M476" s="3">
        <v>0.15</v>
      </c>
      <c r="N476" s="2">
        <v>256.33</v>
      </c>
      <c r="O476" s="2">
        <v>201.14</v>
      </c>
      <c r="P476" s="2">
        <v>55.19</v>
      </c>
      <c r="Q476" t="s">
        <v>75</v>
      </c>
    </row>
    <row r="477" spans="1:17">
      <c r="A477" t="s">
        <v>568</v>
      </c>
      <c r="B477" s="1">
        <v>45679</v>
      </c>
      <c r="C477" s="1" t="str">
        <f t="shared" si="14"/>
        <v>Jan 2025</v>
      </c>
      <c r="D477" s="1">
        <f t="shared" si="15"/>
        <v>45658</v>
      </c>
      <c r="E477" t="s">
        <v>4</v>
      </c>
      <c r="F477" t="s">
        <v>104</v>
      </c>
      <c r="G477" t="s">
        <v>94</v>
      </c>
      <c r="H477" t="s">
        <v>66</v>
      </c>
      <c r="I477" t="s">
        <v>10</v>
      </c>
      <c r="J477" t="s">
        <v>67</v>
      </c>
      <c r="K477">
        <v>4</v>
      </c>
      <c r="L477" s="2">
        <v>207.21</v>
      </c>
      <c r="M477" s="3">
        <v>0.15</v>
      </c>
      <c r="N477" s="2">
        <v>704.51</v>
      </c>
      <c r="O477" s="2">
        <v>578.65</v>
      </c>
      <c r="P477" s="2">
        <v>125.86</v>
      </c>
      <c r="Q477" t="s">
        <v>53</v>
      </c>
    </row>
    <row r="478" spans="1:17">
      <c r="A478" t="s">
        <v>569</v>
      </c>
      <c r="B478" s="1">
        <v>45889</v>
      </c>
      <c r="C478" s="1" t="str">
        <f t="shared" si="14"/>
        <v>Aug 2025</v>
      </c>
      <c r="D478" s="1">
        <f t="shared" si="15"/>
        <v>45870</v>
      </c>
      <c r="E478" t="s">
        <v>8</v>
      </c>
      <c r="F478" t="s">
        <v>90</v>
      </c>
      <c r="G478" t="s">
        <v>50</v>
      </c>
      <c r="H478" t="s">
        <v>66</v>
      </c>
      <c r="I478" t="s">
        <v>12</v>
      </c>
      <c r="J478" t="s">
        <v>87</v>
      </c>
      <c r="K478">
        <v>5</v>
      </c>
      <c r="L478" s="2">
        <v>11.45</v>
      </c>
      <c r="M478" s="3">
        <v>0.15</v>
      </c>
      <c r="N478" s="2">
        <v>48.66</v>
      </c>
      <c r="O478" s="2">
        <v>36.56</v>
      </c>
      <c r="P478" s="2">
        <v>12.1</v>
      </c>
      <c r="Q478" t="s">
        <v>53</v>
      </c>
    </row>
    <row r="479" spans="1:17">
      <c r="A479" t="s">
        <v>570</v>
      </c>
      <c r="B479" s="1">
        <v>45755</v>
      </c>
      <c r="C479" s="1" t="str">
        <f t="shared" si="14"/>
        <v>Apr 2025</v>
      </c>
      <c r="D479" s="1">
        <f t="shared" si="15"/>
        <v>45748</v>
      </c>
      <c r="E479" t="s">
        <v>7</v>
      </c>
      <c r="F479" t="s">
        <v>101</v>
      </c>
      <c r="G479" t="s">
        <v>94</v>
      </c>
      <c r="H479" t="s">
        <v>66</v>
      </c>
      <c r="I479" t="s">
        <v>12</v>
      </c>
      <c r="J479" t="s">
        <v>138</v>
      </c>
      <c r="K479">
        <v>2</v>
      </c>
      <c r="L479" s="2">
        <v>27.08</v>
      </c>
      <c r="M479" s="3">
        <v>0.05</v>
      </c>
      <c r="N479" s="2">
        <v>51.45</v>
      </c>
      <c r="O479" s="2">
        <v>35.659999999999997</v>
      </c>
      <c r="P479" s="2">
        <v>15.79</v>
      </c>
      <c r="Q479" t="s">
        <v>68</v>
      </c>
    </row>
    <row r="480" spans="1:17">
      <c r="A480" t="s">
        <v>571</v>
      </c>
      <c r="B480" s="1">
        <v>45895</v>
      </c>
      <c r="C480" s="1" t="str">
        <f t="shared" si="14"/>
        <v>Aug 2025</v>
      </c>
      <c r="D480" s="1">
        <f t="shared" si="15"/>
        <v>45870</v>
      </c>
      <c r="E480" t="s">
        <v>4</v>
      </c>
      <c r="F480" t="s">
        <v>49</v>
      </c>
      <c r="G480" t="s">
        <v>50</v>
      </c>
      <c r="H480" t="s">
        <v>57</v>
      </c>
      <c r="I480" t="s">
        <v>10</v>
      </c>
      <c r="J480" t="s">
        <v>67</v>
      </c>
      <c r="K480">
        <v>1</v>
      </c>
      <c r="L480" s="2">
        <v>212.13</v>
      </c>
      <c r="M480" s="3">
        <v>0</v>
      </c>
      <c r="N480" s="2">
        <v>212.13</v>
      </c>
      <c r="O480" s="2">
        <v>159.87</v>
      </c>
      <c r="P480" s="2">
        <v>52.26</v>
      </c>
      <c r="Q480" t="s">
        <v>59</v>
      </c>
    </row>
    <row r="481" spans="1:17">
      <c r="A481" t="s">
        <v>572</v>
      </c>
      <c r="B481" s="1">
        <v>45888</v>
      </c>
      <c r="C481" s="1" t="str">
        <f t="shared" si="14"/>
        <v>Aug 2025</v>
      </c>
      <c r="D481" s="1">
        <f t="shared" si="15"/>
        <v>45870</v>
      </c>
      <c r="E481" t="s">
        <v>8</v>
      </c>
      <c r="F481" t="s">
        <v>70</v>
      </c>
      <c r="G481" t="s">
        <v>62</v>
      </c>
      <c r="H481" t="s">
        <v>66</v>
      </c>
      <c r="I481" t="s">
        <v>11</v>
      </c>
      <c r="J481" t="s">
        <v>58</v>
      </c>
      <c r="K481">
        <v>2</v>
      </c>
      <c r="L481" s="2">
        <v>49.38</v>
      </c>
      <c r="M481" s="3">
        <v>0</v>
      </c>
      <c r="N481" s="2">
        <v>98.76</v>
      </c>
      <c r="O481" s="2">
        <v>77.5</v>
      </c>
      <c r="P481" s="2">
        <v>21.26</v>
      </c>
      <c r="Q481" t="s">
        <v>68</v>
      </c>
    </row>
    <row r="482" spans="1:17">
      <c r="A482" t="s">
        <v>573</v>
      </c>
      <c r="B482" s="1">
        <v>45721</v>
      </c>
      <c r="C482" s="1" t="str">
        <f t="shared" si="14"/>
        <v>Mar 2025</v>
      </c>
      <c r="D482" s="1">
        <f t="shared" si="15"/>
        <v>45717</v>
      </c>
      <c r="E482" t="s">
        <v>7</v>
      </c>
      <c r="F482" t="s">
        <v>117</v>
      </c>
      <c r="G482" t="s">
        <v>83</v>
      </c>
      <c r="H482" t="s">
        <v>57</v>
      </c>
      <c r="I482" t="s">
        <v>11</v>
      </c>
      <c r="J482" t="s">
        <v>52</v>
      </c>
      <c r="K482">
        <v>4</v>
      </c>
      <c r="L482" s="2">
        <v>25.99</v>
      </c>
      <c r="M482" s="3">
        <v>0</v>
      </c>
      <c r="N482" s="2">
        <v>103.96</v>
      </c>
      <c r="O482" s="2">
        <v>70.400000000000006</v>
      </c>
      <c r="P482" s="2">
        <v>33.56</v>
      </c>
      <c r="Q482" t="s">
        <v>75</v>
      </c>
    </row>
    <row r="483" spans="1:17">
      <c r="A483" t="s">
        <v>574</v>
      </c>
      <c r="B483" s="1">
        <v>45680</v>
      </c>
      <c r="C483" s="1" t="str">
        <f t="shared" si="14"/>
        <v>Jan 2025</v>
      </c>
      <c r="D483" s="1">
        <f t="shared" si="15"/>
        <v>45658</v>
      </c>
      <c r="E483" t="s">
        <v>5</v>
      </c>
      <c r="F483" t="s">
        <v>79</v>
      </c>
      <c r="G483" t="s">
        <v>94</v>
      </c>
      <c r="H483" t="s">
        <v>57</v>
      </c>
      <c r="I483" t="s">
        <v>11</v>
      </c>
      <c r="J483" t="s">
        <v>115</v>
      </c>
      <c r="K483">
        <v>3</v>
      </c>
      <c r="L483" s="2">
        <v>229.92</v>
      </c>
      <c r="M483" s="3">
        <v>0</v>
      </c>
      <c r="N483" s="2">
        <v>689.76</v>
      </c>
      <c r="O483" s="2">
        <v>392.22</v>
      </c>
      <c r="P483" s="2">
        <v>297.54000000000002</v>
      </c>
      <c r="Q483" t="s">
        <v>59</v>
      </c>
    </row>
    <row r="484" spans="1:17">
      <c r="A484" t="s">
        <v>575</v>
      </c>
      <c r="B484" s="1">
        <v>45816</v>
      </c>
      <c r="C484" s="1" t="str">
        <f t="shared" si="14"/>
        <v>Jun 2025</v>
      </c>
      <c r="D484" s="1">
        <f t="shared" si="15"/>
        <v>45809</v>
      </c>
      <c r="E484" t="s">
        <v>8</v>
      </c>
      <c r="F484" t="s">
        <v>90</v>
      </c>
      <c r="G484" t="s">
        <v>71</v>
      </c>
      <c r="H484" t="s">
        <v>51</v>
      </c>
      <c r="I484" t="s">
        <v>10</v>
      </c>
      <c r="J484" t="s">
        <v>67</v>
      </c>
      <c r="K484">
        <v>2</v>
      </c>
      <c r="L484" s="2">
        <v>197.35</v>
      </c>
      <c r="M484" s="3">
        <v>0</v>
      </c>
      <c r="N484" s="2">
        <v>394.7</v>
      </c>
      <c r="O484" s="2">
        <v>318.97000000000003</v>
      </c>
      <c r="P484" s="2">
        <v>75.73</v>
      </c>
      <c r="Q484" t="s">
        <v>75</v>
      </c>
    </row>
    <row r="485" spans="1:17">
      <c r="A485" t="s">
        <v>576</v>
      </c>
      <c r="B485" s="1">
        <v>45912</v>
      </c>
      <c r="C485" s="1" t="str">
        <f t="shared" si="14"/>
        <v>Sep 2025</v>
      </c>
      <c r="D485" s="1">
        <f t="shared" si="15"/>
        <v>45901</v>
      </c>
      <c r="E485" t="s">
        <v>4</v>
      </c>
      <c r="F485" t="s">
        <v>104</v>
      </c>
      <c r="G485" t="s">
        <v>91</v>
      </c>
      <c r="H485" t="s">
        <v>57</v>
      </c>
      <c r="I485" t="s">
        <v>12</v>
      </c>
      <c r="J485" t="s">
        <v>77</v>
      </c>
      <c r="K485">
        <v>5</v>
      </c>
      <c r="L485" s="2">
        <v>15.51</v>
      </c>
      <c r="M485" s="3">
        <v>0.1</v>
      </c>
      <c r="N485" s="2">
        <v>69.8</v>
      </c>
      <c r="O485" s="2">
        <v>45.86</v>
      </c>
      <c r="P485" s="2">
        <v>23.94</v>
      </c>
      <c r="Q485" t="s">
        <v>75</v>
      </c>
    </row>
    <row r="486" spans="1:17">
      <c r="A486" t="s">
        <v>577</v>
      </c>
      <c r="B486" s="1">
        <v>45884</v>
      </c>
      <c r="C486" s="1" t="str">
        <f t="shared" si="14"/>
        <v>Aug 2025</v>
      </c>
      <c r="D486" s="1">
        <f t="shared" si="15"/>
        <v>45870</v>
      </c>
      <c r="E486" t="s">
        <v>4</v>
      </c>
      <c r="F486" t="s">
        <v>49</v>
      </c>
      <c r="G486" t="s">
        <v>94</v>
      </c>
      <c r="H486" t="s">
        <v>51</v>
      </c>
      <c r="I486" t="s">
        <v>11</v>
      </c>
      <c r="J486" t="s">
        <v>107</v>
      </c>
      <c r="K486">
        <v>3</v>
      </c>
      <c r="L486" s="2">
        <v>52.46</v>
      </c>
      <c r="M486" s="3">
        <v>0.15</v>
      </c>
      <c r="N486" s="2">
        <v>133.77000000000001</v>
      </c>
      <c r="O486" s="2">
        <v>94.97</v>
      </c>
      <c r="P486" s="2">
        <v>38.799999999999997</v>
      </c>
      <c r="Q486" t="s">
        <v>68</v>
      </c>
    </row>
    <row r="487" spans="1:17">
      <c r="A487" t="s">
        <v>578</v>
      </c>
      <c r="B487" s="1">
        <v>45686</v>
      </c>
      <c r="C487" s="1" t="str">
        <f t="shared" si="14"/>
        <v>Jan 2025</v>
      </c>
      <c r="D487" s="1">
        <f t="shared" si="15"/>
        <v>45658</v>
      </c>
      <c r="E487" t="s">
        <v>6</v>
      </c>
      <c r="F487" t="s">
        <v>149</v>
      </c>
      <c r="G487" t="s">
        <v>85</v>
      </c>
      <c r="H487" t="s">
        <v>51</v>
      </c>
      <c r="I487" t="s">
        <v>10</v>
      </c>
      <c r="J487" t="s">
        <v>80</v>
      </c>
      <c r="K487">
        <v>1</v>
      </c>
      <c r="L487" s="2">
        <v>163.18</v>
      </c>
      <c r="M487" s="3">
        <v>0.15</v>
      </c>
      <c r="N487" s="2">
        <v>138.69999999999999</v>
      </c>
      <c r="O487" s="2">
        <v>125.88</v>
      </c>
      <c r="P487" s="2">
        <v>12.82</v>
      </c>
      <c r="Q487" t="s">
        <v>53</v>
      </c>
    </row>
    <row r="488" spans="1:17">
      <c r="A488" t="s">
        <v>579</v>
      </c>
      <c r="B488" s="1">
        <v>45871</v>
      </c>
      <c r="C488" s="1" t="str">
        <f t="shared" si="14"/>
        <v>Aug 2025</v>
      </c>
      <c r="D488" s="1">
        <f t="shared" si="15"/>
        <v>45870</v>
      </c>
      <c r="E488" t="s">
        <v>4</v>
      </c>
      <c r="F488" t="s">
        <v>49</v>
      </c>
      <c r="G488" t="s">
        <v>91</v>
      </c>
      <c r="H488" t="s">
        <v>66</v>
      </c>
      <c r="I488" t="s">
        <v>11</v>
      </c>
      <c r="J488" t="s">
        <v>58</v>
      </c>
      <c r="K488">
        <v>4</v>
      </c>
      <c r="L488" s="2">
        <v>46.55</v>
      </c>
      <c r="M488" s="3">
        <v>0.15</v>
      </c>
      <c r="N488" s="2">
        <v>158.27000000000001</v>
      </c>
      <c r="O488" s="2">
        <v>128.79</v>
      </c>
      <c r="P488" s="2">
        <v>29.48</v>
      </c>
      <c r="Q488" t="s">
        <v>59</v>
      </c>
    </row>
    <row r="489" spans="1:17">
      <c r="A489" t="s">
        <v>580</v>
      </c>
      <c r="B489" s="1">
        <v>45676</v>
      </c>
      <c r="C489" s="1" t="str">
        <f t="shared" si="14"/>
        <v>Jan 2025</v>
      </c>
      <c r="D489" s="1">
        <f t="shared" si="15"/>
        <v>45658</v>
      </c>
      <c r="E489" t="s">
        <v>4</v>
      </c>
      <c r="F489" t="s">
        <v>49</v>
      </c>
      <c r="G489" t="s">
        <v>71</v>
      </c>
      <c r="H489" t="s">
        <v>57</v>
      </c>
      <c r="I489" t="s">
        <v>11</v>
      </c>
      <c r="J489" t="s">
        <v>115</v>
      </c>
      <c r="K489">
        <v>2</v>
      </c>
      <c r="L489" s="2">
        <v>241.44</v>
      </c>
      <c r="M489" s="3">
        <v>0</v>
      </c>
      <c r="N489" s="2">
        <v>482.88</v>
      </c>
      <c r="O489" s="2">
        <v>360.97</v>
      </c>
      <c r="P489" s="2">
        <v>121.91</v>
      </c>
      <c r="Q489" t="s">
        <v>68</v>
      </c>
    </row>
    <row r="490" spans="1:17">
      <c r="A490" t="s">
        <v>581</v>
      </c>
      <c r="B490" s="1">
        <v>45720</v>
      </c>
      <c r="C490" s="1" t="str">
        <f t="shared" si="14"/>
        <v>Mar 2025</v>
      </c>
      <c r="D490" s="1">
        <f t="shared" si="15"/>
        <v>45717</v>
      </c>
      <c r="E490" t="s">
        <v>4</v>
      </c>
      <c r="F490" t="s">
        <v>49</v>
      </c>
      <c r="G490" t="s">
        <v>85</v>
      </c>
      <c r="H490" t="s">
        <v>66</v>
      </c>
      <c r="I490" t="s">
        <v>10</v>
      </c>
      <c r="J490" t="s">
        <v>80</v>
      </c>
      <c r="K490">
        <v>2</v>
      </c>
      <c r="L490" s="2">
        <v>148.65</v>
      </c>
      <c r="M490" s="3">
        <v>0</v>
      </c>
      <c r="N490" s="2">
        <v>297.3</v>
      </c>
      <c r="O490" s="2">
        <v>216.66</v>
      </c>
      <c r="P490" s="2">
        <v>80.64</v>
      </c>
      <c r="Q490" t="s">
        <v>53</v>
      </c>
    </row>
    <row r="491" spans="1:17">
      <c r="A491" t="s">
        <v>582</v>
      </c>
      <c r="B491" s="1">
        <v>45905</v>
      </c>
      <c r="C491" s="1" t="str">
        <f t="shared" si="14"/>
        <v>Sep 2025</v>
      </c>
      <c r="D491" s="1">
        <f t="shared" si="15"/>
        <v>45901</v>
      </c>
      <c r="E491" t="s">
        <v>6</v>
      </c>
      <c r="F491" t="s">
        <v>149</v>
      </c>
      <c r="G491" t="s">
        <v>62</v>
      </c>
      <c r="H491" t="s">
        <v>51</v>
      </c>
      <c r="I491" t="s">
        <v>10</v>
      </c>
      <c r="J491" t="s">
        <v>102</v>
      </c>
      <c r="K491">
        <v>6</v>
      </c>
      <c r="L491" s="2">
        <v>44.68</v>
      </c>
      <c r="M491" s="3">
        <v>0.05</v>
      </c>
      <c r="N491" s="2">
        <v>254.68</v>
      </c>
      <c r="O491" s="2">
        <v>173.75</v>
      </c>
      <c r="P491" s="2">
        <v>80.930000000000007</v>
      </c>
      <c r="Q491" t="s">
        <v>75</v>
      </c>
    </row>
    <row r="492" spans="1:17">
      <c r="A492" t="s">
        <v>583</v>
      </c>
      <c r="B492" s="1">
        <v>45924</v>
      </c>
      <c r="C492" s="1" t="str">
        <f t="shared" si="14"/>
        <v>Sep 2025</v>
      </c>
      <c r="D492" s="1">
        <f t="shared" si="15"/>
        <v>45901</v>
      </c>
      <c r="E492" t="s">
        <v>6</v>
      </c>
      <c r="F492" t="s">
        <v>109</v>
      </c>
      <c r="G492" t="s">
        <v>94</v>
      </c>
      <c r="H492" t="s">
        <v>51</v>
      </c>
      <c r="I492" t="s">
        <v>10</v>
      </c>
      <c r="J492" t="s">
        <v>67</v>
      </c>
      <c r="K492">
        <v>3</v>
      </c>
      <c r="L492" s="2">
        <v>197.31</v>
      </c>
      <c r="M492" s="3">
        <v>0.15</v>
      </c>
      <c r="N492" s="2">
        <v>503.14</v>
      </c>
      <c r="O492" s="2">
        <v>349.13</v>
      </c>
      <c r="P492" s="2">
        <v>154.01</v>
      </c>
      <c r="Q492" t="s">
        <v>53</v>
      </c>
    </row>
    <row r="493" spans="1:17">
      <c r="A493" t="s">
        <v>584</v>
      </c>
      <c r="B493" s="1">
        <v>45896</v>
      </c>
      <c r="C493" s="1" t="str">
        <f t="shared" si="14"/>
        <v>Aug 2025</v>
      </c>
      <c r="D493" s="1">
        <f t="shared" si="15"/>
        <v>45870</v>
      </c>
      <c r="E493" t="s">
        <v>7</v>
      </c>
      <c r="F493" t="s">
        <v>61</v>
      </c>
      <c r="G493" t="s">
        <v>62</v>
      </c>
      <c r="H493" t="s">
        <v>57</v>
      </c>
      <c r="I493" t="s">
        <v>10</v>
      </c>
      <c r="J493" t="s">
        <v>130</v>
      </c>
      <c r="K493">
        <v>4</v>
      </c>
      <c r="L493" s="2">
        <v>170.21</v>
      </c>
      <c r="M493" s="3">
        <v>0.15</v>
      </c>
      <c r="N493" s="2">
        <v>578.71</v>
      </c>
      <c r="O493" s="2">
        <v>558.08000000000004</v>
      </c>
      <c r="P493" s="2">
        <v>20.63</v>
      </c>
      <c r="Q493" t="s">
        <v>68</v>
      </c>
    </row>
    <row r="494" spans="1:17">
      <c r="A494" t="s">
        <v>585</v>
      </c>
      <c r="B494" s="1">
        <v>45663</v>
      </c>
      <c r="C494" s="1" t="str">
        <f t="shared" si="14"/>
        <v>Jan 2025</v>
      </c>
      <c r="D494" s="1">
        <f t="shared" si="15"/>
        <v>45658</v>
      </c>
      <c r="E494" t="s">
        <v>4</v>
      </c>
      <c r="F494" t="s">
        <v>104</v>
      </c>
      <c r="G494" t="s">
        <v>62</v>
      </c>
      <c r="H494" t="s">
        <v>51</v>
      </c>
      <c r="I494" t="s">
        <v>10</v>
      </c>
      <c r="J494" t="s">
        <v>125</v>
      </c>
      <c r="K494">
        <v>4</v>
      </c>
      <c r="L494" s="2">
        <v>305.91000000000003</v>
      </c>
      <c r="M494" s="3">
        <v>0</v>
      </c>
      <c r="N494" s="2">
        <v>1223.6400000000001</v>
      </c>
      <c r="O494" s="2">
        <v>749.27</v>
      </c>
      <c r="P494" s="2">
        <v>474.37</v>
      </c>
      <c r="Q494" t="s">
        <v>53</v>
      </c>
    </row>
    <row r="495" spans="1:17">
      <c r="A495" t="s">
        <v>586</v>
      </c>
      <c r="B495" s="1">
        <v>46009</v>
      </c>
      <c r="C495" s="1" t="str">
        <f t="shared" si="14"/>
        <v>Dec 2025</v>
      </c>
      <c r="D495" s="1">
        <f t="shared" si="15"/>
        <v>45992</v>
      </c>
      <c r="E495" t="s">
        <v>5</v>
      </c>
      <c r="F495" t="s">
        <v>97</v>
      </c>
      <c r="G495" t="s">
        <v>62</v>
      </c>
      <c r="H495" t="s">
        <v>66</v>
      </c>
      <c r="I495" t="s">
        <v>12</v>
      </c>
      <c r="J495" t="s">
        <v>74</v>
      </c>
      <c r="K495">
        <v>2</v>
      </c>
      <c r="L495" s="2">
        <v>10.25</v>
      </c>
      <c r="M495" s="3">
        <v>0</v>
      </c>
      <c r="N495" s="2">
        <v>20.5</v>
      </c>
      <c r="O495" s="2">
        <v>15.78</v>
      </c>
      <c r="P495" s="2">
        <v>4.72</v>
      </c>
      <c r="Q495" t="s">
        <v>75</v>
      </c>
    </row>
    <row r="496" spans="1:17">
      <c r="A496" t="s">
        <v>587</v>
      </c>
      <c r="B496" s="1">
        <v>45900</v>
      </c>
      <c r="C496" s="1" t="str">
        <f t="shared" si="14"/>
        <v>Aug 2025</v>
      </c>
      <c r="D496" s="1">
        <f t="shared" si="15"/>
        <v>45870</v>
      </c>
      <c r="E496" t="s">
        <v>7</v>
      </c>
      <c r="F496" t="s">
        <v>101</v>
      </c>
      <c r="G496" t="s">
        <v>94</v>
      </c>
      <c r="H496" t="s">
        <v>66</v>
      </c>
      <c r="I496" t="s">
        <v>11</v>
      </c>
      <c r="J496" t="s">
        <v>58</v>
      </c>
      <c r="K496">
        <v>2</v>
      </c>
      <c r="L496" s="2">
        <v>46.71</v>
      </c>
      <c r="M496" s="3">
        <v>0.15</v>
      </c>
      <c r="N496" s="2">
        <v>79.41</v>
      </c>
      <c r="O496" s="2">
        <v>73.69</v>
      </c>
      <c r="P496" s="2">
        <v>5.72</v>
      </c>
      <c r="Q496" t="s">
        <v>59</v>
      </c>
    </row>
    <row r="497" spans="1:17">
      <c r="A497" t="s">
        <v>588</v>
      </c>
      <c r="B497" s="1">
        <v>45947</v>
      </c>
      <c r="C497" s="1" t="str">
        <f t="shared" si="14"/>
        <v>Oct 2025</v>
      </c>
      <c r="D497" s="1">
        <f t="shared" si="15"/>
        <v>45931</v>
      </c>
      <c r="E497" t="s">
        <v>6</v>
      </c>
      <c r="F497" t="s">
        <v>109</v>
      </c>
      <c r="G497" t="s">
        <v>83</v>
      </c>
      <c r="H497" t="s">
        <v>57</v>
      </c>
      <c r="I497" t="s">
        <v>10</v>
      </c>
      <c r="J497" t="s">
        <v>80</v>
      </c>
      <c r="K497">
        <v>3</v>
      </c>
      <c r="L497" s="2">
        <v>135.62</v>
      </c>
      <c r="M497" s="3">
        <v>0.15</v>
      </c>
      <c r="N497" s="2">
        <v>345.83</v>
      </c>
      <c r="O497" s="2">
        <v>295.24</v>
      </c>
      <c r="P497" s="2">
        <v>50.59</v>
      </c>
      <c r="Q497" t="s">
        <v>53</v>
      </c>
    </row>
    <row r="498" spans="1:17">
      <c r="A498" t="s">
        <v>589</v>
      </c>
      <c r="B498" s="1">
        <v>45831</v>
      </c>
      <c r="C498" s="1" t="str">
        <f t="shared" si="14"/>
        <v>Jun 2025</v>
      </c>
      <c r="D498" s="1">
        <f t="shared" si="15"/>
        <v>45809</v>
      </c>
      <c r="E498" t="s">
        <v>8</v>
      </c>
      <c r="F498" t="s">
        <v>70</v>
      </c>
      <c r="G498" t="s">
        <v>62</v>
      </c>
      <c r="H498" t="s">
        <v>66</v>
      </c>
      <c r="I498" t="s">
        <v>12</v>
      </c>
      <c r="J498" t="s">
        <v>77</v>
      </c>
      <c r="K498">
        <v>5</v>
      </c>
      <c r="L498" s="2">
        <v>15.38</v>
      </c>
      <c r="M498" s="3">
        <v>0.1</v>
      </c>
      <c r="N498" s="2">
        <v>69.209999999999994</v>
      </c>
      <c r="O498" s="2">
        <v>44.31</v>
      </c>
      <c r="P498" s="2">
        <v>24.9</v>
      </c>
      <c r="Q498" t="s">
        <v>53</v>
      </c>
    </row>
    <row r="499" spans="1:17">
      <c r="A499" t="s">
        <v>590</v>
      </c>
      <c r="B499" s="1">
        <v>45797</v>
      </c>
      <c r="C499" s="1" t="str">
        <f t="shared" si="14"/>
        <v>May 2025</v>
      </c>
      <c r="D499" s="1">
        <f t="shared" si="15"/>
        <v>45778</v>
      </c>
      <c r="E499" t="s">
        <v>6</v>
      </c>
      <c r="F499" t="s">
        <v>109</v>
      </c>
      <c r="G499" t="s">
        <v>71</v>
      </c>
      <c r="H499" t="s">
        <v>51</v>
      </c>
      <c r="I499" t="s">
        <v>12</v>
      </c>
      <c r="J499" t="s">
        <v>87</v>
      </c>
      <c r="K499">
        <v>3</v>
      </c>
      <c r="L499" s="2">
        <v>11.43</v>
      </c>
      <c r="M499" s="3">
        <v>0.1</v>
      </c>
      <c r="N499" s="2">
        <v>30.86</v>
      </c>
      <c r="O499" s="2">
        <v>26.36</v>
      </c>
      <c r="P499" s="2">
        <v>4.5</v>
      </c>
      <c r="Q499" t="s">
        <v>53</v>
      </c>
    </row>
    <row r="500" spans="1:17">
      <c r="A500" t="s">
        <v>591</v>
      </c>
      <c r="B500" s="1">
        <v>45849</v>
      </c>
      <c r="C500" s="1" t="str">
        <f t="shared" si="14"/>
        <v>Jul 2025</v>
      </c>
      <c r="D500" s="1">
        <f t="shared" si="15"/>
        <v>45839</v>
      </c>
      <c r="E500" t="s">
        <v>4</v>
      </c>
      <c r="F500" t="s">
        <v>49</v>
      </c>
      <c r="G500" t="s">
        <v>56</v>
      </c>
      <c r="H500" t="s">
        <v>57</v>
      </c>
      <c r="I500" t="s">
        <v>11</v>
      </c>
      <c r="J500" t="s">
        <v>58</v>
      </c>
      <c r="K500">
        <v>6</v>
      </c>
      <c r="L500" s="2">
        <v>44.89</v>
      </c>
      <c r="M500" s="3">
        <v>0</v>
      </c>
      <c r="N500" s="2">
        <v>269.33999999999997</v>
      </c>
      <c r="O500" s="2">
        <v>204.62</v>
      </c>
      <c r="P500" s="2">
        <v>64.72</v>
      </c>
      <c r="Q500" t="s">
        <v>75</v>
      </c>
    </row>
    <row r="501" spans="1:17">
      <c r="A501" t="s">
        <v>592</v>
      </c>
      <c r="B501" s="1">
        <v>45926</v>
      </c>
      <c r="C501" s="1" t="str">
        <f t="shared" si="14"/>
        <v>Sep 2025</v>
      </c>
      <c r="D501" s="1">
        <f t="shared" si="15"/>
        <v>45901</v>
      </c>
      <c r="E501" t="s">
        <v>5</v>
      </c>
      <c r="F501" t="s">
        <v>79</v>
      </c>
      <c r="G501" t="s">
        <v>94</v>
      </c>
      <c r="H501" t="s">
        <v>57</v>
      </c>
      <c r="I501" t="s">
        <v>12</v>
      </c>
      <c r="J501" t="s">
        <v>74</v>
      </c>
      <c r="K501">
        <v>1</v>
      </c>
      <c r="L501" s="2">
        <v>10.92</v>
      </c>
      <c r="M501" s="3">
        <v>0.15</v>
      </c>
      <c r="N501" s="2">
        <v>9.2799999999999994</v>
      </c>
      <c r="O501" s="2">
        <v>7.9</v>
      </c>
      <c r="P501" s="2">
        <v>1.38</v>
      </c>
      <c r="Q501" t="s">
        <v>75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B676-872C-438A-A50B-34A5144DC5B7}">
  <dimension ref="A1:B22"/>
  <sheetViews>
    <sheetView topLeftCell="A9" workbookViewId="0">
      <selection activeCell="B20" sqref="B20"/>
    </sheetView>
  </sheetViews>
  <sheetFormatPr defaultRowHeight="15"/>
  <cols>
    <col min="1" max="1" width="24.85546875" customWidth="1"/>
    <col min="2" max="2" width="18.28515625" customWidth="1"/>
  </cols>
  <sheetData>
    <row r="1" spans="1:2">
      <c r="A1" t="s">
        <v>593</v>
      </c>
      <c r="B1">
        <f>COUNTA(Sales_Data!A2:A501)-COUNTA(_xlfn.UNIQUE(Sales_Data!A2:A501))</f>
        <v>0</v>
      </c>
    </row>
    <row r="3" spans="1:2">
      <c r="A3" t="s">
        <v>594</v>
      </c>
      <c r="B3">
        <f>COUNTBLANK(Sales_Data!A2:A501)</f>
        <v>0</v>
      </c>
    </row>
    <row r="5" spans="1:2">
      <c r="A5" t="s">
        <v>595</v>
      </c>
      <c r="B5">
        <f>COUNTBLANK(Sales_Data!B2:B501)</f>
        <v>0</v>
      </c>
    </row>
    <row r="7" spans="1:2">
      <c r="A7" t="s">
        <v>596</v>
      </c>
      <c r="B7">
        <f>COUNTBLANK(Sales_Data!E2:E501)</f>
        <v>0</v>
      </c>
    </row>
    <row r="9" spans="1:2">
      <c r="A9" t="s">
        <v>597</v>
      </c>
      <c r="B9">
        <f>COUNTBLANK(Sales_Data!J2:J501)</f>
        <v>0</v>
      </c>
    </row>
    <row r="11" spans="1:2">
      <c r="A11" t="s">
        <v>598</v>
      </c>
      <c r="B11">
        <f>COUNTBLANK(Sales_Data!N2:N501)</f>
        <v>0</v>
      </c>
    </row>
    <row r="14" spans="1:2">
      <c r="A14" t="s">
        <v>599</v>
      </c>
      <c r="B14">
        <f>SUM(Sales_Data!N2:N501)</f>
        <v>137160.06000000006</v>
      </c>
    </row>
    <row r="16" spans="1:2">
      <c r="A16" t="s">
        <v>600</v>
      </c>
      <c r="B16" s="9">
        <f>SUM(Sales_Data!P2:P501)</f>
        <v>39150.00999999998</v>
      </c>
    </row>
    <row r="18" spans="1:2">
      <c r="A18" t="s">
        <v>601</v>
      </c>
      <c r="B18">
        <f>COUNTA(Sales_Data!A2:A501)</f>
        <v>500</v>
      </c>
    </row>
    <row r="20" spans="1:2">
      <c r="A20" t="s">
        <v>602</v>
      </c>
      <c r="B20">
        <f>SUM(Sales_Data!K2:K501)</f>
        <v>1469</v>
      </c>
    </row>
    <row r="22" spans="1:2">
      <c r="A22" t="s">
        <v>603</v>
      </c>
      <c r="B22" s="8">
        <f>(B16/B14)*100</f>
        <v>28.543301891235657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05" customWidth="1"/>
  </cols>
  <sheetData>
    <row r="1" spans="1:2" ht="27.95" customHeight="1">
      <c r="A1" s="10" t="s">
        <v>604</v>
      </c>
      <c r="B1" s="11"/>
    </row>
    <row r="2" spans="1:2">
      <c r="A2" s="4" t="s">
        <v>605</v>
      </c>
      <c r="B2" s="5" t="s">
        <v>606</v>
      </c>
    </row>
    <row r="3" spans="1:2">
      <c r="A3" s="4" t="s">
        <v>607</v>
      </c>
      <c r="B3" s="6" t="s">
        <v>608</v>
      </c>
    </row>
    <row r="4" spans="1:2">
      <c r="A4" s="4" t="s">
        <v>609</v>
      </c>
      <c r="B4" s="6" t="s">
        <v>610</v>
      </c>
    </row>
    <row r="5" spans="1:2">
      <c r="A5" s="4" t="s">
        <v>34</v>
      </c>
      <c r="B5" s="6" t="s">
        <v>611</v>
      </c>
    </row>
    <row r="6" spans="1:2">
      <c r="A6" s="4" t="s">
        <v>35</v>
      </c>
      <c r="B6" s="6" t="s">
        <v>612</v>
      </c>
    </row>
    <row r="7" spans="1:2">
      <c r="A7" s="4" t="s">
        <v>613</v>
      </c>
      <c r="B7" s="6" t="s">
        <v>614</v>
      </c>
    </row>
    <row r="8" spans="1:2">
      <c r="A8" s="4" t="s">
        <v>38</v>
      </c>
      <c r="B8" s="6" t="s">
        <v>615</v>
      </c>
    </row>
    <row r="9" spans="1:2">
      <c r="A9" s="4" t="s">
        <v>39</v>
      </c>
      <c r="B9" s="6" t="s">
        <v>616</v>
      </c>
    </row>
    <row r="10" spans="1:2">
      <c r="A10" s="4" t="s">
        <v>617</v>
      </c>
      <c r="B10" s="6" t="s">
        <v>618</v>
      </c>
    </row>
    <row r="11" spans="1:2">
      <c r="A11" s="4" t="s">
        <v>41</v>
      </c>
      <c r="B11" s="6" t="s">
        <v>619</v>
      </c>
    </row>
    <row r="12" spans="1:2">
      <c r="A12" s="4" t="s">
        <v>42</v>
      </c>
      <c r="B12" s="6" t="s">
        <v>620</v>
      </c>
    </row>
    <row r="13" spans="1:2">
      <c r="A13" s="4" t="s">
        <v>43</v>
      </c>
      <c r="B13" s="6" t="s">
        <v>621</v>
      </c>
    </row>
    <row r="14" spans="1:2">
      <c r="A14" s="4" t="s">
        <v>44</v>
      </c>
      <c r="B14" s="6" t="s">
        <v>622</v>
      </c>
    </row>
    <row r="15" spans="1:2">
      <c r="A15" s="4" t="s">
        <v>45</v>
      </c>
      <c r="B15" s="6" t="s">
        <v>623</v>
      </c>
    </row>
    <row r="16" spans="1:2">
      <c r="A16" s="4" t="s">
        <v>46</v>
      </c>
      <c r="B16" s="6" t="s">
        <v>624</v>
      </c>
    </row>
    <row r="17" spans="1:2">
      <c r="A17" s="4" t="s">
        <v>47</v>
      </c>
      <c r="B17" s="6" t="s">
        <v>625</v>
      </c>
    </row>
    <row r="18" spans="1:2">
      <c r="A18" s="4" t="s">
        <v>626</v>
      </c>
      <c r="B18" s="6" t="s">
        <v>627</v>
      </c>
    </row>
    <row r="19" spans="1:2">
      <c r="A19" s="4" t="s">
        <v>628</v>
      </c>
      <c r="B19" s="6" t="s">
        <v>629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2026-10-22T07:17:05Z</dcterms:created>
  <dcterms:modified xsi:type="dcterms:W3CDTF">2026-10-22T10:09:03Z</dcterms:modified>
  <cp:category/>
  <cp:contentStatus/>
</cp:coreProperties>
</file>